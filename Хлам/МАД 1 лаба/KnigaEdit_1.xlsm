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7-semester\МАД\ЛР 1\"/>
    </mc:Choice>
  </mc:AlternateContent>
  <xr:revisionPtr revIDLastSave="0" documentId="13_ncr:1_{529DC649-D605-4B4D-9014-DFD72056ED22}" xr6:coauthVersionLast="45" xr6:coauthVersionMax="45" xr10:uidLastSave="{00000000-0000-0000-0000-000000000000}"/>
  <bookViews>
    <workbookView xWindow="1755" yWindow="930" windowWidth="32970" windowHeight="19485" xr2:uid="{00000000-000D-0000-FFFF-FFFF00000000}"/>
  </bookViews>
  <sheets>
    <sheet name="Исх. данные" sheetId="1" r:id="rId1"/>
    <sheet name="Табл. сопряженности" sheetId="9" r:id="rId2"/>
    <sheet name="Данные дисп анализ" sheetId="10" r:id="rId3"/>
    <sheet name="Дескриптивный анализ" sheetId="7" r:id="rId4"/>
    <sheet name="Корреляции" sheetId="6" r:id="rId5"/>
    <sheet name="Регрессионная модель" sheetId="8" r:id="rId6"/>
    <sheet name="Дисп. анализ" sheetId="11" r:id="rId7"/>
  </sheets>
  <definedNames>
    <definedName name="imports_85" localSheetId="0">'Исх. данные'!$A$2:$Z$160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8" i="8" l="1"/>
  <c r="AC1" i="1" l="1"/>
  <c r="E185" i="8" l="1"/>
  <c r="E186" i="8"/>
  <c r="E187" i="8" s="1"/>
  <c r="E188" i="8" s="1"/>
  <c r="E189" i="8" s="1"/>
  <c r="E190" i="8" s="1"/>
  <c r="E191" i="8" s="1"/>
  <c r="E192" i="8" s="1"/>
  <c r="E193" i="8" s="1"/>
  <c r="E194" i="8" s="1"/>
  <c r="E195" i="8" s="1"/>
  <c r="E196" i="8" s="1"/>
  <c r="E197" i="8" s="1"/>
  <c r="E198" i="8" s="1"/>
  <c r="E199" i="8" s="1"/>
  <c r="E200" i="8" s="1"/>
  <c r="E201" i="8" s="1"/>
  <c r="E202" i="8" s="1"/>
  <c r="E203" i="8" s="1"/>
  <c r="E204" i="8" s="1"/>
  <c r="B28" i="7" l="1"/>
  <c r="Q28" i="7"/>
  <c r="N28" i="7"/>
  <c r="K28" i="7"/>
  <c r="H28" i="7"/>
  <c r="E28" i="7"/>
  <c r="B17" i="7"/>
  <c r="B18" i="7" s="1"/>
  <c r="M19" i="7" l="1"/>
  <c r="N29" i="7" s="1"/>
  <c r="N30" i="7" s="1"/>
  <c r="N31" i="7" s="1"/>
  <c r="N32" i="7" s="1"/>
  <c r="N33" i="7" s="1"/>
  <c r="N34" i="7" s="1"/>
  <c r="N35" i="7" s="1"/>
  <c r="N36" i="7" s="1"/>
  <c r="N37" i="7" s="1"/>
  <c r="N38" i="7" s="1"/>
  <c r="N39" i="7" s="1"/>
  <c r="N40" i="7" s="1"/>
  <c r="N41" i="7" s="1"/>
  <c r="N42" i="7" s="1"/>
  <c r="N43" i="7" s="1"/>
  <c r="N44" i="7" s="1"/>
  <c r="N45" i="7" s="1"/>
  <c r="N46" i="7" s="1"/>
  <c r="B19" i="7"/>
  <c r="D19" i="7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B29" i="7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G19" i="7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P19" i="7"/>
  <c r="Q29" i="7" s="1"/>
  <c r="Q30" i="7" s="1"/>
  <c r="Q31" i="7" s="1"/>
  <c r="Q32" i="7" s="1"/>
  <c r="Q33" i="7" s="1"/>
  <c r="Q34" i="7" s="1"/>
  <c r="Q35" i="7" s="1"/>
  <c r="Q36" i="7" s="1"/>
  <c r="Q37" i="7" s="1"/>
  <c r="Q38" i="7" s="1"/>
  <c r="Q39" i="7" s="1"/>
  <c r="Q40" i="7" s="1"/>
  <c r="Q41" i="7" s="1"/>
  <c r="Q42" i="7" s="1"/>
  <c r="Q43" i="7" s="1"/>
  <c r="Q44" i="7" s="1"/>
  <c r="Q45" i="7" s="1"/>
  <c r="Q46" i="7" s="1"/>
  <c r="J19" i="7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J2" i="11" l="1"/>
  <c r="R2" i="9" l="1"/>
  <c r="R14" i="9" s="1"/>
  <c r="Q2" i="9"/>
  <c r="Q14" i="9" s="1"/>
  <c r="O14" i="9"/>
  <c r="N14" i="9"/>
  <c r="R17" i="9"/>
  <c r="Q17" i="9"/>
  <c r="R5" i="9"/>
  <c r="Q5" i="9"/>
  <c r="K2" i="9"/>
  <c r="J2" i="9"/>
  <c r="F4" i="9"/>
  <c r="E4" i="9"/>
  <c r="J4" i="9" s="1"/>
  <c r="F3" i="9"/>
  <c r="E3" i="9"/>
  <c r="F5" i="9"/>
  <c r="O3" i="9" s="1"/>
  <c r="E5" i="9"/>
  <c r="N4" i="9" s="1"/>
  <c r="G4" i="9"/>
  <c r="G3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A155" i="9"/>
  <c r="A156" i="9"/>
  <c r="A157" i="9"/>
  <c r="A158" i="9"/>
  <c r="A159" i="9"/>
  <c r="A160" i="9"/>
  <c r="A150" i="9"/>
  <c r="A151" i="9"/>
  <c r="A152" i="9"/>
  <c r="A153" i="9"/>
  <c r="A154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B1" i="9"/>
  <c r="A1" i="9"/>
  <c r="K3" i="9" l="1"/>
  <c r="K4" i="9"/>
  <c r="J3" i="9"/>
  <c r="J5" i="9" s="1"/>
  <c r="N15" i="9"/>
  <c r="R20" i="9" s="1"/>
  <c r="N16" i="9"/>
  <c r="O15" i="9"/>
  <c r="O16" i="9"/>
  <c r="N3" i="9"/>
  <c r="N5" i="9" s="1"/>
  <c r="O4" i="9"/>
  <c r="N17" i="9"/>
  <c r="O17" i="9"/>
  <c r="R8" i="9"/>
  <c r="O5" i="9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" i="1"/>
  <c r="AE2" i="1"/>
  <c r="C2" i="10" s="1"/>
  <c r="AE3" i="1"/>
  <c r="C3" i="10" s="1"/>
  <c r="AE4" i="1"/>
  <c r="C4" i="10" s="1"/>
  <c r="AE5" i="1"/>
  <c r="C5" i="10" s="1"/>
  <c r="AE6" i="1"/>
  <c r="C6" i="10" s="1"/>
  <c r="AE7" i="1"/>
  <c r="C7" i="10" s="1"/>
  <c r="AE8" i="1"/>
  <c r="C8" i="10" s="1"/>
  <c r="AE9" i="1"/>
  <c r="C9" i="10" s="1"/>
  <c r="AE10" i="1"/>
  <c r="C10" i="10" s="1"/>
  <c r="AE11" i="1"/>
  <c r="C11" i="10" s="1"/>
  <c r="AE12" i="1"/>
  <c r="C12" i="10" s="1"/>
  <c r="AE13" i="1"/>
  <c r="C13" i="10" s="1"/>
  <c r="AE14" i="1"/>
  <c r="C14" i="10" s="1"/>
  <c r="AE15" i="1"/>
  <c r="C15" i="10" s="1"/>
  <c r="AE16" i="1"/>
  <c r="C16" i="10" s="1"/>
  <c r="AE17" i="1"/>
  <c r="C17" i="10" s="1"/>
  <c r="AE18" i="1"/>
  <c r="C18" i="10" s="1"/>
  <c r="AE19" i="1"/>
  <c r="C19" i="10" s="1"/>
  <c r="AE20" i="1"/>
  <c r="C20" i="10" s="1"/>
  <c r="AE21" i="1"/>
  <c r="C21" i="10" s="1"/>
  <c r="AE22" i="1"/>
  <c r="C22" i="10" s="1"/>
  <c r="AE23" i="1"/>
  <c r="C23" i="10" s="1"/>
  <c r="AE24" i="1"/>
  <c r="C24" i="10" s="1"/>
  <c r="AE25" i="1"/>
  <c r="C25" i="10" s="1"/>
  <c r="AE26" i="1"/>
  <c r="C26" i="10" s="1"/>
  <c r="AE27" i="1"/>
  <c r="C27" i="10" s="1"/>
  <c r="AE28" i="1"/>
  <c r="C28" i="10" s="1"/>
  <c r="AE29" i="1"/>
  <c r="C29" i="10" s="1"/>
  <c r="AE30" i="1"/>
  <c r="C30" i="10" s="1"/>
  <c r="AE31" i="1"/>
  <c r="C31" i="10" s="1"/>
  <c r="AE32" i="1"/>
  <c r="C32" i="10" s="1"/>
  <c r="AE33" i="1"/>
  <c r="C33" i="10" s="1"/>
  <c r="AE34" i="1"/>
  <c r="C34" i="10" s="1"/>
  <c r="AE35" i="1"/>
  <c r="C35" i="10" s="1"/>
  <c r="AE36" i="1"/>
  <c r="C36" i="10" s="1"/>
  <c r="AE37" i="1"/>
  <c r="C37" i="10" s="1"/>
  <c r="AE38" i="1"/>
  <c r="C38" i="10" s="1"/>
  <c r="AE39" i="1"/>
  <c r="C39" i="10" s="1"/>
  <c r="AE40" i="1"/>
  <c r="C40" i="10" s="1"/>
  <c r="AE41" i="1"/>
  <c r="C41" i="10" s="1"/>
  <c r="AE42" i="1"/>
  <c r="C42" i="10" s="1"/>
  <c r="AE43" i="1"/>
  <c r="C43" i="10" s="1"/>
  <c r="AE44" i="1"/>
  <c r="C44" i="10" s="1"/>
  <c r="AE45" i="1"/>
  <c r="C45" i="10" s="1"/>
  <c r="AE46" i="1"/>
  <c r="C46" i="10" s="1"/>
  <c r="AE47" i="1"/>
  <c r="C47" i="10" s="1"/>
  <c r="AE48" i="1"/>
  <c r="C48" i="10" s="1"/>
  <c r="AE49" i="1"/>
  <c r="C49" i="10" s="1"/>
  <c r="AE50" i="1"/>
  <c r="C50" i="10" s="1"/>
  <c r="AE51" i="1"/>
  <c r="C51" i="10" s="1"/>
  <c r="AE52" i="1"/>
  <c r="C52" i="10" s="1"/>
  <c r="AE53" i="1"/>
  <c r="C53" i="10" s="1"/>
  <c r="AE54" i="1"/>
  <c r="C54" i="10" s="1"/>
  <c r="AE55" i="1"/>
  <c r="C55" i="10" s="1"/>
  <c r="AE56" i="1"/>
  <c r="C56" i="10" s="1"/>
  <c r="AE57" i="1"/>
  <c r="C57" i="10" s="1"/>
  <c r="AE58" i="1"/>
  <c r="C58" i="10" s="1"/>
  <c r="AE59" i="1"/>
  <c r="C59" i="10" s="1"/>
  <c r="AE60" i="1"/>
  <c r="C60" i="10" s="1"/>
  <c r="AE61" i="1"/>
  <c r="C61" i="10" s="1"/>
  <c r="AE62" i="1"/>
  <c r="C62" i="10" s="1"/>
  <c r="AE63" i="1"/>
  <c r="C63" i="10" s="1"/>
  <c r="AE64" i="1"/>
  <c r="C64" i="10" s="1"/>
  <c r="AE65" i="1"/>
  <c r="C65" i="10" s="1"/>
  <c r="AE66" i="1"/>
  <c r="C66" i="10" s="1"/>
  <c r="AE67" i="1"/>
  <c r="C67" i="10" s="1"/>
  <c r="AE68" i="1"/>
  <c r="C68" i="10" s="1"/>
  <c r="AE69" i="1"/>
  <c r="C69" i="10" s="1"/>
  <c r="AE70" i="1"/>
  <c r="C70" i="10" s="1"/>
  <c r="AE71" i="1"/>
  <c r="C71" i="10" s="1"/>
  <c r="AE72" i="1"/>
  <c r="C72" i="10" s="1"/>
  <c r="AE73" i="1"/>
  <c r="C73" i="10" s="1"/>
  <c r="AE74" i="1"/>
  <c r="C74" i="10" s="1"/>
  <c r="AE75" i="1"/>
  <c r="C75" i="10" s="1"/>
  <c r="AE76" i="1"/>
  <c r="C76" i="10" s="1"/>
  <c r="AE77" i="1"/>
  <c r="C77" i="10" s="1"/>
  <c r="AE78" i="1"/>
  <c r="C78" i="10" s="1"/>
  <c r="AE79" i="1"/>
  <c r="C79" i="10" s="1"/>
  <c r="AE80" i="1"/>
  <c r="C80" i="10" s="1"/>
  <c r="AE81" i="1"/>
  <c r="C81" i="10" s="1"/>
  <c r="AE82" i="1"/>
  <c r="C82" i="10" s="1"/>
  <c r="AE83" i="1"/>
  <c r="C83" i="10" s="1"/>
  <c r="AE84" i="1"/>
  <c r="C84" i="10" s="1"/>
  <c r="AE85" i="1"/>
  <c r="C85" i="10" s="1"/>
  <c r="AE86" i="1"/>
  <c r="C86" i="10" s="1"/>
  <c r="AE87" i="1"/>
  <c r="C87" i="10" s="1"/>
  <c r="AE88" i="1"/>
  <c r="C88" i="10" s="1"/>
  <c r="AE89" i="1"/>
  <c r="C89" i="10" s="1"/>
  <c r="AE90" i="1"/>
  <c r="C90" i="10" s="1"/>
  <c r="AE91" i="1"/>
  <c r="C91" i="10" s="1"/>
  <c r="AE92" i="1"/>
  <c r="C92" i="10" s="1"/>
  <c r="AE93" i="1"/>
  <c r="C93" i="10" s="1"/>
  <c r="AE94" i="1"/>
  <c r="C94" i="10" s="1"/>
  <c r="AE95" i="1"/>
  <c r="C95" i="10" s="1"/>
  <c r="AE96" i="1"/>
  <c r="C96" i="10" s="1"/>
  <c r="AE97" i="1"/>
  <c r="C97" i="10" s="1"/>
  <c r="AE98" i="1"/>
  <c r="C98" i="10" s="1"/>
  <c r="AE99" i="1"/>
  <c r="C99" i="10" s="1"/>
  <c r="AE100" i="1"/>
  <c r="C100" i="10" s="1"/>
  <c r="AE101" i="1"/>
  <c r="C101" i="10" s="1"/>
  <c r="AE102" i="1"/>
  <c r="C102" i="10" s="1"/>
  <c r="AE103" i="1"/>
  <c r="C103" i="10" s="1"/>
  <c r="AE104" i="1"/>
  <c r="C104" i="10" s="1"/>
  <c r="AE105" i="1"/>
  <c r="C105" i="10" s="1"/>
  <c r="AE106" i="1"/>
  <c r="C106" i="10" s="1"/>
  <c r="AE107" i="1"/>
  <c r="C107" i="10" s="1"/>
  <c r="AE108" i="1"/>
  <c r="C108" i="10" s="1"/>
  <c r="AE109" i="1"/>
  <c r="C109" i="10" s="1"/>
  <c r="AE110" i="1"/>
  <c r="C110" i="10" s="1"/>
  <c r="AE111" i="1"/>
  <c r="C111" i="10" s="1"/>
  <c r="AE112" i="1"/>
  <c r="C112" i="10" s="1"/>
  <c r="AE113" i="1"/>
  <c r="C113" i="10" s="1"/>
  <c r="AE114" i="1"/>
  <c r="C114" i="10" s="1"/>
  <c r="AE115" i="1"/>
  <c r="C115" i="10" s="1"/>
  <c r="AE116" i="1"/>
  <c r="C116" i="10" s="1"/>
  <c r="AE117" i="1"/>
  <c r="C117" i="10" s="1"/>
  <c r="AE118" i="1"/>
  <c r="C118" i="10" s="1"/>
  <c r="AE119" i="1"/>
  <c r="C119" i="10" s="1"/>
  <c r="AE120" i="1"/>
  <c r="C120" i="10" s="1"/>
  <c r="AE121" i="1"/>
  <c r="C121" i="10" s="1"/>
  <c r="AE122" i="1"/>
  <c r="C122" i="10" s="1"/>
  <c r="AE123" i="1"/>
  <c r="C123" i="10" s="1"/>
  <c r="AE124" i="1"/>
  <c r="C124" i="10" s="1"/>
  <c r="AE125" i="1"/>
  <c r="C125" i="10" s="1"/>
  <c r="AE126" i="1"/>
  <c r="C126" i="10" s="1"/>
  <c r="AE127" i="1"/>
  <c r="C127" i="10" s="1"/>
  <c r="AE128" i="1"/>
  <c r="C128" i="10" s="1"/>
  <c r="AE129" i="1"/>
  <c r="C129" i="10" s="1"/>
  <c r="AE130" i="1"/>
  <c r="C130" i="10" s="1"/>
  <c r="AE131" i="1"/>
  <c r="C131" i="10" s="1"/>
  <c r="AE132" i="1"/>
  <c r="C132" i="10" s="1"/>
  <c r="AE133" i="1"/>
  <c r="C133" i="10" s="1"/>
  <c r="AE134" i="1"/>
  <c r="C134" i="10" s="1"/>
  <c r="AE135" i="1"/>
  <c r="C135" i="10" s="1"/>
  <c r="AE136" i="1"/>
  <c r="C136" i="10" s="1"/>
  <c r="AE137" i="1"/>
  <c r="C137" i="10" s="1"/>
  <c r="AE138" i="1"/>
  <c r="C138" i="10" s="1"/>
  <c r="AE139" i="1"/>
  <c r="C139" i="10" s="1"/>
  <c r="AE140" i="1"/>
  <c r="C140" i="10" s="1"/>
  <c r="AE141" i="1"/>
  <c r="C141" i="10" s="1"/>
  <c r="AE142" i="1"/>
  <c r="C142" i="10" s="1"/>
  <c r="AE143" i="1"/>
  <c r="C143" i="10" s="1"/>
  <c r="AE144" i="1"/>
  <c r="C144" i="10" s="1"/>
  <c r="AE145" i="1"/>
  <c r="C145" i="10" s="1"/>
  <c r="AE146" i="1"/>
  <c r="C146" i="10" s="1"/>
  <c r="AE147" i="1"/>
  <c r="C147" i="10" s="1"/>
  <c r="AE148" i="1"/>
  <c r="C148" i="10" s="1"/>
  <c r="AE149" i="1"/>
  <c r="C149" i="10" s="1"/>
  <c r="AE150" i="1"/>
  <c r="C150" i="10" s="1"/>
  <c r="AE151" i="1"/>
  <c r="C151" i="10" s="1"/>
  <c r="AE152" i="1"/>
  <c r="C152" i="10" s="1"/>
  <c r="AE153" i="1"/>
  <c r="C153" i="10" s="1"/>
  <c r="AE154" i="1"/>
  <c r="C154" i="10" s="1"/>
  <c r="AE155" i="1"/>
  <c r="C155" i="10" s="1"/>
  <c r="AE156" i="1"/>
  <c r="C156" i="10" s="1"/>
  <c r="AE157" i="1"/>
  <c r="C157" i="10" s="1"/>
  <c r="AE158" i="1"/>
  <c r="C158" i="10" s="1"/>
  <c r="AE159" i="1"/>
  <c r="C159" i="10" s="1"/>
  <c r="AE160" i="1"/>
  <c r="C160" i="10" s="1"/>
  <c r="AE1" i="1"/>
  <c r="C1" i="10" s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" i="1"/>
  <c r="AC2" i="1"/>
  <c r="A2" i="10" s="1"/>
  <c r="AC3" i="1"/>
  <c r="A3" i="10" s="1"/>
  <c r="AC4" i="1"/>
  <c r="A4" i="10" s="1"/>
  <c r="AC5" i="1"/>
  <c r="A5" i="10" s="1"/>
  <c r="AC6" i="1"/>
  <c r="A6" i="10" s="1"/>
  <c r="AC7" i="1"/>
  <c r="A7" i="10" s="1"/>
  <c r="AC8" i="1"/>
  <c r="A8" i="10" s="1"/>
  <c r="AC9" i="1"/>
  <c r="A9" i="10" s="1"/>
  <c r="AC10" i="1"/>
  <c r="A10" i="10" s="1"/>
  <c r="AC11" i="1"/>
  <c r="A11" i="10" s="1"/>
  <c r="AC12" i="1"/>
  <c r="A12" i="10" s="1"/>
  <c r="AC13" i="1"/>
  <c r="A13" i="10" s="1"/>
  <c r="AC14" i="1"/>
  <c r="A14" i="10" s="1"/>
  <c r="AC15" i="1"/>
  <c r="A15" i="10" s="1"/>
  <c r="AC16" i="1"/>
  <c r="A16" i="10" s="1"/>
  <c r="AC17" i="1"/>
  <c r="A17" i="10" s="1"/>
  <c r="AC18" i="1"/>
  <c r="A18" i="10" s="1"/>
  <c r="AC19" i="1"/>
  <c r="A19" i="10" s="1"/>
  <c r="AC20" i="1"/>
  <c r="A20" i="10" s="1"/>
  <c r="AC21" i="1"/>
  <c r="A21" i="10" s="1"/>
  <c r="AC22" i="1"/>
  <c r="A22" i="10" s="1"/>
  <c r="AC23" i="1"/>
  <c r="A23" i="10" s="1"/>
  <c r="AC24" i="1"/>
  <c r="A24" i="10" s="1"/>
  <c r="AC25" i="1"/>
  <c r="A25" i="10" s="1"/>
  <c r="AC26" i="1"/>
  <c r="A26" i="10" s="1"/>
  <c r="AC27" i="1"/>
  <c r="A27" i="10" s="1"/>
  <c r="AC28" i="1"/>
  <c r="A28" i="10" s="1"/>
  <c r="AC29" i="1"/>
  <c r="A29" i="10" s="1"/>
  <c r="AC30" i="1"/>
  <c r="A30" i="10" s="1"/>
  <c r="AC31" i="1"/>
  <c r="A31" i="10" s="1"/>
  <c r="AC32" i="1"/>
  <c r="A32" i="10" s="1"/>
  <c r="AC33" i="1"/>
  <c r="A33" i="10" s="1"/>
  <c r="AC34" i="1"/>
  <c r="A34" i="10" s="1"/>
  <c r="AC35" i="1"/>
  <c r="A35" i="10" s="1"/>
  <c r="AC36" i="1"/>
  <c r="A36" i="10" s="1"/>
  <c r="AC37" i="1"/>
  <c r="A37" i="10" s="1"/>
  <c r="AC38" i="1"/>
  <c r="A38" i="10" s="1"/>
  <c r="AC39" i="1"/>
  <c r="A39" i="10" s="1"/>
  <c r="AC40" i="1"/>
  <c r="A40" i="10" s="1"/>
  <c r="AC41" i="1"/>
  <c r="A41" i="10" s="1"/>
  <c r="AC42" i="1"/>
  <c r="A42" i="10" s="1"/>
  <c r="AC43" i="1"/>
  <c r="A43" i="10" s="1"/>
  <c r="AC44" i="1"/>
  <c r="A44" i="10" s="1"/>
  <c r="AC45" i="1"/>
  <c r="A45" i="10" s="1"/>
  <c r="AC46" i="1"/>
  <c r="A46" i="10" s="1"/>
  <c r="AC47" i="1"/>
  <c r="A47" i="10" s="1"/>
  <c r="AC48" i="1"/>
  <c r="A48" i="10" s="1"/>
  <c r="AC49" i="1"/>
  <c r="A49" i="10" s="1"/>
  <c r="AC50" i="1"/>
  <c r="A50" i="10" s="1"/>
  <c r="AC51" i="1"/>
  <c r="A51" i="10" s="1"/>
  <c r="AC52" i="1"/>
  <c r="A52" i="10" s="1"/>
  <c r="AC53" i="1"/>
  <c r="A53" i="10" s="1"/>
  <c r="AC54" i="1"/>
  <c r="A54" i="10" s="1"/>
  <c r="AC55" i="1"/>
  <c r="A55" i="10" s="1"/>
  <c r="AC56" i="1"/>
  <c r="A56" i="10" s="1"/>
  <c r="AC57" i="1"/>
  <c r="A57" i="10" s="1"/>
  <c r="AC58" i="1"/>
  <c r="A58" i="10" s="1"/>
  <c r="AC59" i="1"/>
  <c r="A59" i="10" s="1"/>
  <c r="AC60" i="1"/>
  <c r="A60" i="10" s="1"/>
  <c r="AC61" i="1"/>
  <c r="A61" i="10" s="1"/>
  <c r="AC62" i="1"/>
  <c r="A62" i="10" s="1"/>
  <c r="AC63" i="1"/>
  <c r="A63" i="10" s="1"/>
  <c r="AC64" i="1"/>
  <c r="A64" i="10" s="1"/>
  <c r="AC65" i="1"/>
  <c r="A65" i="10" s="1"/>
  <c r="AC66" i="1"/>
  <c r="A66" i="10" s="1"/>
  <c r="AC67" i="1"/>
  <c r="A67" i="10" s="1"/>
  <c r="AC68" i="1"/>
  <c r="A68" i="10" s="1"/>
  <c r="AC69" i="1"/>
  <c r="A69" i="10" s="1"/>
  <c r="AC70" i="1"/>
  <c r="A70" i="10" s="1"/>
  <c r="AC71" i="1"/>
  <c r="A71" i="10" s="1"/>
  <c r="AC72" i="1"/>
  <c r="A72" i="10" s="1"/>
  <c r="AC73" i="1"/>
  <c r="A73" i="10" s="1"/>
  <c r="AC74" i="1"/>
  <c r="A74" i="10" s="1"/>
  <c r="AC75" i="1"/>
  <c r="A75" i="10" s="1"/>
  <c r="AC76" i="1"/>
  <c r="A76" i="10" s="1"/>
  <c r="AC77" i="1"/>
  <c r="A77" i="10" s="1"/>
  <c r="AC78" i="1"/>
  <c r="A78" i="10" s="1"/>
  <c r="AC79" i="1"/>
  <c r="A79" i="10" s="1"/>
  <c r="AC80" i="1"/>
  <c r="A80" i="10" s="1"/>
  <c r="AC81" i="1"/>
  <c r="A81" i="10" s="1"/>
  <c r="AC82" i="1"/>
  <c r="A82" i="10" s="1"/>
  <c r="AC83" i="1"/>
  <c r="A83" i="10" s="1"/>
  <c r="AC84" i="1"/>
  <c r="A84" i="10" s="1"/>
  <c r="AC85" i="1"/>
  <c r="A85" i="10" s="1"/>
  <c r="AC86" i="1"/>
  <c r="A86" i="10" s="1"/>
  <c r="AC87" i="1"/>
  <c r="A87" i="10" s="1"/>
  <c r="AC88" i="1"/>
  <c r="A88" i="10" s="1"/>
  <c r="AC89" i="1"/>
  <c r="A89" i="10" s="1"/>
  <c r="AC90" i="1"/>
  <c r="A90" i="10" s="1"/>
  <c r="AC91" i="1"/>
  <c r="A91" i="10" s="1"/>
  <c r="AC92" i="1"/>
  <c r="A92" i="10" s="1"/>
  <c r="AC93" i="1"/>
  <c r="A93" i="10" s="1"/>
  <c r="AC94" i="1"/>
  <c r="A94" i="10" s="1"/>
  <c r="AC95" i="1"/>
  <c r="A95" i="10" s="1"/>
  <c r="AC96" i="1"/>
  <c r="A96" i="10" s="1"/>
  <c r="AC97" i="1"/>
  <c r="A97" i="10" s="1"/>
  <c r="AC98" i="1"/>
  <c r="A98" i="10" s="1"/>
  <c r="AC99" i="1"/>
  <c r="A99" i="10" s="1"/>
  <c r="AC100" i="1"/>
  <c r="A100" i="10" s="1"/>
  <c r="AC101" i="1"/>
  <c r="A101" i="10" s="1"/>
  <c r="AC102" i="1"/>
  <c r="A102" i="10" s="1"/>
  <c r="AC103" i="1"/>
  <c r="A103" i="10" s="1"/>
  <c r="AC104" i="1"/>
  <c r="A104" i="10" s="1"/>
  <c r="AC105" i="1"/>
  <c r="A105" i="10" s="1"/>
  <c r="AC106" i="1"/>
  <c r="A106" i="10" s="1"/>
  <c r="AC107" i="1"/>
  <c r="A107" i="10" s="1"/>
  <c r="AC108" i="1"/>
  <c r="A108" i="10" s="1"/>
  <c r="AC109" i="1"/>
  <c r="A109" i="10" s="1"/>
  <c r="AC110" i="1"/>
  <c r="A110" i="10" s="1"/>
  <c r="AC111" i="1"/>
  <c r="A111" i="10" s="1"/>
  <c r="AC112" i="1"/>
  <c r="A112" i="10" s="1"/>
  <c r="AC113" i="1"/>
  <c r="A113" i="10" s="1"/>
  <c r="AC114" i="1"/>
  <c r="A114" i="10" s="1"/>
  <c r="AC115" i="1"/>
  <c r="A115" i="10" s="1"/>
  <c r="AC116" i="1"/>
  <c r="A116" i="10" s="1"/>
  <c r="AC117" i="1"/>
  <c r="A117" i="10" s="1"/>
  <c r="AC118" i="1"/>
  <c r="A118" i="10" s="1"/>
  <c r="AC119" i="1"/>
  <c r="A119" i="10" s="1"/>
  <c r="AC120" i="1"/>
  <c r="A120" i="10" s="1"/>
  <c r="AC121" i="1"/>
  <c r="A121" i="10" s="1"/>
  <c r="AC122" i="1"/>
  <c r="A122" i="10" s="1"/>
  <c r="AC123" i="1"/>
  <c r="A123" i="10" s="1"/>
  <c r="AC124" i="1"/>
  <c r="A124" i="10" s="1"/>
  <c r="AC125" i="1"/>
  <c r="A125" i="10" s="1"/>
  <c r="AC126" i="1"/>
  <c r="A126" i="10" s="1"/>
  <c r="AC127" i="1"/>
  <c r="A127" i="10" s="1"/>
  <c r="AC128" i="1"/>
  <c r="A128" i="10" s="1"/>
  <c r="AC129" i="1"/>
  <c r="A129" i="10" s="1"/>
  <c r="AC130" i="1"/>
  <c r="A130" i="10" s="1"/>
  <c r="AC131" i="1"/>
  <c r="A131" i="10" s="1"/>
  <c r="AC132" i="1"/>
  <c r="A132" i="10" s="1"/>
  <c r="AC133" i="1"/>
  <c r="A133" i="10" s="1"/>
  <c r="AC134" i="1"/>
  <c r="A134" i="10" s="1"/>
  <c r="AC135" i="1"/>
  <c r="A135" i="10" s="1"/>
  <c r="AC136" i="1"/>
  <c r="A136" i="10" s="1"/>
  <c r="AC137" i="1"/>
  <c r="A137" i="10" s="1"/>
  <c r="AC138" i="1"/>
  <c r="A138" i="10" s="1"/>
  <c r="AC139" i="1"/>
  <c r="A139" i="10" s="1"/>
  <c r="AC140" i="1"/>
  <c r="A140" i="10" s="1"/>
  <c r="AC141" i="1"/>
  <c r="A141" i="10" s="1"/>
  <c r="AC142" i="1"/>
  <c r="A142" i="10" s="1"/>
  <c r="AC143" i="1"/>
  <c r="A143" i="10" s="1"/>
  <c r="AC144" i="1"/>
  <c r="A144" i="10" s="1"/>
  <c r="AC145" i="1"/>
  <c r="A145" i="10" s="1"/>
  <c r="AC146" i="1"/>
  <c r="A146" i="10" s="1"/>
  <c r="AC147" i="1"/>
  <c r="A147" i="10" s="1"/>
  <c r="AC148" i="1"/>
  <c r="A148" i="10" s="1"/>
  <c r="AC149" i="1"/>
  <c r="A149" i="10" s="1"/>
  <c r="AC150" i="1"/>
  <c r="A150" i="10" s="1"/>
  <c r="AC151" i="1"/>
  <c r="A151" i="10" s="1"/>
  <c r="AC152" i="1"/>
  <c r="A152" i="10" s="1"/>
  <c r="AC153" i="1"/>
  <c r="A153" i="10" s="1"/>
  <c r="AC154" i="1"/>
  <c r="A154" i="10" s="1"/>
  <c r="AC155" i="1"/>
  <c r="A155" i="10" s="1"/>
  <c r="AC156" i="1"/>
  <c r="A156" i="10" s="1"/>
  <c r="AC157" i="1"/>
  <c r="A157" i="10" s="1"/>
  <c r="AC158" i="1"/>
  <c r="A158" i="10" s="1"/>
  <c r="AC159" i="1"/>
  <c r="A159" i="10" s="1"/>
  <c r="AC160" i="1"/>
  <c r="A160" i="10" s="1"/>
  <c r="A1" i="10"/>
  <c r="K5" i="9" l="1"/>
  <c r="H1" i="10"/>
  <c r="H2" i="10"/>
  <c r="H5" i="10" l="1"/>
  <c r="H4" i="10"/>
  <c r="B101" i="10" l="1"/>
  <c r="B146" i="10"/>
  <c r="B65" i="10"/>
  <c r="B142" i="10"/>
  <c r="B109" i="10"/>
  <c r="B28" i="10"/>
  <c r="B140" i="10"/>
  <c r="B105" i="10"/>
  <c r="B136" i="10"/>
  <c r="B55" i="10"/>
  <c r="B6" i="10"/>
  <c r="B57" i="10"/>
  <c r="B72" i="10"/>
  <c r="B111" i="10"/>
  <c r="B14" i="10"/>
  <c r="B116" i="10"/>
  <c r="B130" i="10"/>
  <c r="B49" i="10"/>
  <c r="B110" i="10"/>
  <c r="B93" i="10"/>
  <c r="B12" i="10"/>
  <c r="B123" i="10"/>
  <c r="B89" i="10"/>
  <c r="B120" i="10"/>
  <c r="B39" i="10"/>
  <c r="B160" i="10"/>
  <c r="B25" i="10"/>
  <c r="B42" i="10"/>
  <c r="B69" i="10"/>
  <c r="B100" i="10"/>
  <c r="B80" i="10"/>
  <c r="B127" i="10"/>
  <c r="B124" i="10"/>
  <c r="B86" i="10"/>
  <c r="B70" i="10"/>
  <c r="B145" i="10"/>
  <c r="B48" i="10"/>
  <c r="B44" i="10"/>
  <c r="B37" i="10"/>
  <c r="B114" i="10"/>
  <c r="B33" i="10"/>
  <c r="B94" i="10"/>
  <c r="B77" i="10"/>
  <c r="B5" i="10"/>
  <c r="B138" i="10"/>
  <c r="B73" i="10"/>
  <c r="B104" i="10"/>
  <c r="B23" i="10"/>
  <c r="B7" i="10"/>
  <c r="B74" i="10"/>
  <c r="B56" i="10"/>
  <c r="B9" i="10"/>
  <c r="B26" i="10"/>
  <c r="B4" i="10"/>
  <c r="B16" i="10"/>
  <c r="B132" i="10"/>
  <c r="B98" i="10"/>
  <c r="B17" i="10"/>
  <c r="B78" i="10"/>
  <c r="B61" i="10"/>
  <c r="B52" i="10"/>
  <c r="B90" i="10"/>
  <c r="B88" i="10"/>
  <c r="B149" i="10"/>
  <c r="B29" i="10"/>
  <c r="B151" i="10"/>
  <c r="B144" i="10"/>
  <c r="B8" i="10"/>
  <c r="B43" i="10"/>
  <c r="B117" i="10"/>
  <c r="B27" i="10"/>
  <c r="B102" i="10"/>
  <c r="B112" i="10"/>
  <c r="B126" i="10"/>
  <c r="B54" i="10"/>
  <c r="B60" i="10"/>
  <c r="B159" i="10"/>
  <c r="B147" i="10"/>
  <c r="B82" i="10"/>
  <c r="B85" i="10"/>
  <c r="B62" i="10"/>
  <c r="B45" i="10"/>
  <c r="B41" i="10"/>
  <c r="B119" i="10"/>
  <c r="B21" i="10"/>
  <c r="B10" i="10"/>
  <c r="B2" i="10"/>
  <c r="B143" i="10"/>
  <c r="B158" i="10"/>
  <c r="B154" i="10"/>
  <c r="B113" i="10"/>
  <c r="B141" i="10"/>
  <c r="B79" i="10"/>
  <c r="B131" i="10"/>
  <c r="B66" i="10"/>
  <c r="B64" i="10"/>
  <c r="B46" i="10"/>
  <c r="B58" i="10"/>
  <c r="B150" i="10"/>
  <c r="B134" i="10"/>
  <c r="B63" i="10"/>
  <c r="B20" i="10"/>
  <c r="B11" i="10"/>
  <c r="B135" i="10"/>
  <c r="B36" i="10"/>
  <c r="B87" i="10"/>
  <c r="B152" i="10"/>
  <c r="B115" i="10"/>
  <c r="B50" i="10"/>
  <c r="B84" i="10"/>
  <c r="B30" i="10"/>
  <c r="B13" i="10"/>
  <c r="B107" i="10"/>
  <c r="B40" i="10"/>
  <c r="B24" i="10"/>
  <c r="B129" i="10"/>
  <c r="B128" i="10"/>
  <c r="B118" i="10"/>
  <c r="B156" i="10"/>
  <c r="B31" i="10"/>
  <c r="B53" i="10"/>
  <c r="B157" i="10"/>
  <c r="B137" i="10"/>
  <c r="B125" i="10"/>
  <c r="B99" i="10"/>
  <c r="B34" i="10"/>
  <c r="B75" i="10"/>
  <c r="B108" i="10"/>
  <c r="B155" i="10"/>
  <c r="B91" i="10"/>
  <c r="B122" i="10"/>
  <c r="B97" i="10"/>
  <c r="B83" i="10"/>
  <c r="B18" i="10"/>
  <c r="B95" i="10"/>
  <c r="B59" i="10"/>
  <c r="B32" i="10"/>
  <c r="B47" i="10"/>
  <c r="B139" i="10"/>
  <c r="B92" i="10"/>
  <c r="B103" i="10"/>
  <c r="B96" i="10"/>
  <c r="B67" i="10"/>
  <c r="B76" i="10"/>
  <c r="B153" i="10"/>
  <c r="B121" i="10"/>
  <c r="B51" i="10"/>
  <c r="B35" i="10"/>
  <c r="B19" i="10"/>
  <c r="B148" i="10"/>
  <c r="B15" i="10"/>
  <c r="B106" i="10"/>
  <c r="B133" i="10"/>
  <c r="B38" i="10"/>
  <c r="B3" i="10"/>
  <c r="B71" i="10"/>
  <c r="B68" i="10"/>
  <c r="B81" i="10"/>
  <c r="B2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mports-85" type="6" refreshedVersion="6" background="1" saveData="1">
    <textPr codePage="866" sourceFile="C:\Users\User.DESKTOP-Q2FT676\Downloads\imports-85.data" decimal="," thousands=" " comma="1">
      <textFields count="26">
        <textField type="text"/>
        <textField type="text"/>
        <textField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<sst xmlns="http://schemas.openxmlformats.org/spreadsheetml/2006/main" count="2342" uniqueCount="162">
  <si>
    <t>3</t>
  </si>
  <si>
    <t>gas</t>
  </si>
  <si>
    <t>std</t>
  </si>
  <si>
    <t>two</t>
  </si>
  <si>
    <t>convertible</t>
  </si>
  <si>
    <t>rwd</t>
  </si>
  <si>
    <t>front</t>
  </si>
  <si>
    <t>dohc</t>
  </si>
  <si>
    <t>four</t>
  </si>
  <si>
    <t>mpfi</t>
  </si>
  <si>
    <t>1</t>
  </si>
  <si>
    <t>hatchback</t>
  </si>
  <si>
    <t>ohcv</t>
  </si>
  <si>
    <t>six</t>
  </si>
  <si>
    <t>2</t>
  </si>
  <si>
    <t>audi</t>
  </si>
  <si>
    <t>sedan</t>
  </si>
  <si>
    <t>fwd</t>
  </si>
  <si>
    <t>ohc</t>
  </si>
  <si>
    <t>4wd</t>
  </si>
  <si>
    <t>five</t>
  </si>
  <si>
    <t>wagon</t>
  </si>
  <si>
    <t>turbo</t>
  </si>
  <si>
    <t>0</t>
  </si>
  <si>
    <t>bmw</t>
  </si>
  <si>
    <t>chevrolet</t>
  </si>
  <si>
    <t>l</t>
  </si>
  <si>
    <t>three</t>
  </si>
  <si>
    <t>2bbl</t>
  </si>
  <si>
    <t>dodge</t>
  </si>
  <si>
    <t>-1</t>
  </si>
  <si>
    <t>mfi</t>
  </si>
  <si>
    <t>honda</t>
  </si>
  <si>
    <t>1bbl</t>
  </si>
  <si>
    <t>jaguar</t>
  </si>
  <si>
    <t>mazda</t>
  </si>
  <si>
    <t>diesel</t>
  </si>
  <si>
    <t>idi</t>
  </si>
  <si>
    <t>mercedes-benz</t>
  </si>
  <si>
    <t>hardtop</t>
  </si>
  <si>
    <t>eight</t>
  </si>
  <si>
    <t>mitsubishi</t>
  </si>
  <si>
    <t>spdi</t>
  </si>
  <si>
    <t>nissan</t>
  </si>
  <si>
    <t>peugot</t>
  </si>
  <si>
    <t>plymouth</t>
  </si>
  <si>
    <t>porsche</t>
  </si>
  <si>
    <t>ohcf</t>
  </si>
  <si>
    <t>saab</t>
  </si>
  <si>
    <t>subaru</t>
  </si>
  <si>
    <t>toyota</t>
  </si>
  <si>
    <t>volkswagen</t>
  </si>
  <si>
    <t>-2</t>
  </si>
  <si>
    <t>volvo</t>
  </si>
  <si>
    <t>symboling</t>
  </si>
  <si>
    <t> normalized-losses</t>
  </si>
  <si>
    <t>make</t>
  </si>
  <si>
    <t>fuel-type</t>
  </si>
  <si>
    <t>aspiration</t>
  </si>
  <si>
    <t>num-of-doors</t>
  </si>
  <si>
    <t>body-style</t>
  </si>
  <si>
    <t>drive-wheels</t>
  </si>
  <si>
    <t>engine-location</t>
  </si>
  <si>
    <t>wheel-base</t>
  </si>
  <si>
    <t>length</t>
  </si>
  <si>
    <t>width</t>
  </si>
  <si>
    <t>height</t>
  </si>
  <si>
    <t>curb-weight</t>
  </si>
  <si>
    <t>engine-type</t>
  </si>
  <si>
    <t> num-of-cylinders</t>
  </si>
  <si>
    <t>engine-size</t>
  </si>
  <si>
    <t>fuel-system</t>
  </si>
  <si>
    <t>bore</t>
  </si>
  <si>
    <t>stroke</t>
  </si>
  <si>
    <t>compression-ratio</t>
  </si>
  <si>
    <t>horsepower</t>
  </si>
  <si>
    <t>peak-rpm</t>
  </si>
  <si>
    <t>city-mpg</t>
  </si>
  <si>
    <t>highway-mpg</t>
  </si>
  <si>
    <t>price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</si>
  <si>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</si>
  <si>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</si>
  <si>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</si>
  <si>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</si>
  <si>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</si>
  <si>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</si>
  <si>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</si>
  <si>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</si>
  <si>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</si>
  <si>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</si>
  <si>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</si>
  <si>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</si>
  <si>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</si>
  <si>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</si>
  <si>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</si>
  <si>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</si>
  <si>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</si>
  <si>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</si>
  <si>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</si>
  <si>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</si>
  <si>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</si>
  <si>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</si>
  <si>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</si>
  <si>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</si>
  <si>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</si>
  <si>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</si>
  <si>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</si>
  <si>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</si>
  <si>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</si>
  <si>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</si>
  <si>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</si>
  <si>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</si>
  <si>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</si>
  <si>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</si>
  <si>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</si>
  <si>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</si>
  <si>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ВЫВОД ОСТАТКА</t>
  </si>
  <si>
    <t>Наблюдение</t>
  </si>
  <si>
    <t>Предсказанное horsepower</t>
  </si>
  <si>
    <t>Остатки</t>
  </si>
  <si>
    <t>Стандартные остатки</t>
  </si>
  <si>
    <t>ВЫВОД ВЕРОЯТНОСТИ</t>
  </si>
  <si>
    <t>Персентиль</t>
  </si>
  <si>
    <t>2 двери</t>
  </si>
  <si>
    <t>4 двери</t>
  </si>
  <si>
    <t>Бензин</t>
  </si>
  <si>
    <t>Дизель</t>
  </si>
  <si>
    <t>Всего</t>
  </si>
  <si>
    <t>Таблица сопряженности</t>
  </si>
  <si>
    <t>В %</t>
  </si>
  <si>
    <t>Вероятность что переменные независимы</t>
  </si>
  <si>
    <t>Гипотеза 1</t>
  </si>
  <si>
    <t>Гипотеза 1 в %</t>
  </si>
  <si>
    <t>Гипотеза 2</t>
  </si>
  <si>
    <t>Гипотеза 2 в %</t>
  </si>
  <si>
    <t>Вероятность, что переменные независимы</t>
  </si>
  <si>
    <t>engine-size factorized</t>
  </si>
  <si>
    <t>engine-size min</t>
  </si>
  <si>
    <t>engine-size max</t>
  </si>
  <si>
    <t>engine-size s-m</t>
  </si>
  <si>
    <t>engine-size m-l</t>
  </si>
  <si>
    <t>1 - small</t>
  </si>
  <si>
    <t>2 - medium</t>
  </si>
  <si>
    <t>3 - large</t>
  </si>
  <si>
    <t>Однофакторный дисперсионный анализ</t>
  </si>
  <si>
    <t>ИТОГИ</t>
  </si>
  <si>
    <t>Группы</t>
  </si>
  <si>
    <t>Дисперсия</t>
  </si>
  <si>
    <t>Источник вариации</t>
  </si>
  <si>
    <t>F критическое</t>
  </si>
  <si>
    <t>Между группами</t>
  </si>
  <si>
    <t>Внутри групп</t>
  </si>
  <si>
    <t>Коэфф. Детерминации R^2</t>
  </si>
  <si>
    <t>Количество карманов:</t>
  </si>
  <si>
    <t>Длинна интервалов</t>
  </si>
  <si>
    <t>MAX</t>
  </si>
  <si>
    <t>MIN</t>
  </si>
  <si>
    <t>Карман</t>
  </si>
  <si>
    <t>Еще</t>
  </si>
  <si>
    <t>Частота</t>
  </si>
  <si>
    <t>Производитель</t>
  </si>
  <si>
    <t>сигма ост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</si>
</sst>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12"/>
      <color rgb="FF123654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6" borderId="0" applyNumberFormat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0" fillId="0" borderId="0" xfId="0" applyNumberFormat="1"/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3" fillId="0" borderId="0" xfId="0" applyFont="1"/>
    <xf numFmtId="2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2" fontId="3" fillId="0" borderId="0" xfId="0" applyNumberFormat="1" applyFont="1"/>
    <xf numFmtId="0" fontId="0" fillId="0" borderId="0" xfId="0" applyFill="1" applyBorder="1" applyAlignment="1"/>
    <xf numFmtId="0" fontId="0" fillId="0" borderId="2" xfId="0" applyFill="1" applyBorder="1" applyAlignment="1"/>
    <xf numFmtId="0" fontId="4" fillId="0" borderId="3" xfId="0" applyFont="1" applyFill="1" applyBorder="1" applyAlignment="1">
      <alignment horizontal="center"/>
    </xf>
    <xf numFmtId="0" fontId="0" fillId="4" borderId="2" xfId="0" applyFill="1" applyBorder="1" applyAlignment="1"/>
    <xf numFmtId="0" fontId="0" fillId="4" borderId="0" xfId="0" applyFill="1" applyBorder="1" applyAlignment="1"/>
    <xf numFmtId="0" fontId="4" fillId="0" borderId="3" xfId="0" applyFont="1" applyFill="1" applyBorder="1" applyAlignment="1">
      <alignment horizontal="centerContinuous"/>
    </xf>
    <xf numFmtId="0" fontId="5" fillId="6" borderId="0" xfId="1"/>
    <xf numFmtId="0" fontId="5" fillId="7" borderId="0" xfId="2"/>
    <xf numFmtId="0" fontId="6" fillId="0" borderId="0" xfId="0" applyFont="1"/>
    <xf numFmtId="0" fontId="0" fillId="0" borderId="0" xfId="0" applyAlignment="1"/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9" borderId="0" xfId="0" applyFont="1" applyFill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0" fillId="0" borderId="0" xfId="0" applyBorder="1"/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0" fillId="0" borderId="1" xfId="0" applyNumberFormat="1" applyFill="1" applyBorder="1" applyAlignment="1"/>
    <xf numFmtId="0" fontId="0" fillId="0" borderId="1" xfId="0" applyFill="1" applyBorder="1" applyAlignment="1"/>
    <xf numFmtId="0" fontId="1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0" fillId="0" borderId="1" xfId="0" applyBorder="1" applyAlignment="1">
      <alignment horizontal="center"/>
    </xf>
    <xf numFmtId="0" fontId="0" fillId="10" borderId="0" xfId="0" applyFill="1" applyBorder="1" applyAlignment="1"/>
    <xf numFmtId="0" fontId="0" fillId="0" borderId="0" xfId="0" applyAlignment="1">
      <alignment horizontal="center"/>
    </xf>
    <xf numFmtId="0" fontId="9" fillId="0" borderId="4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</cellXfs>
  <cellStyles count="3">
    <cellStyle name="40% — акцент2" xfId="1" builtinId="35"/>
    <cellStyle name="40% — акцент6" xfId="2" builtinId="5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анализ'!$A$49:$A$68</c:f>
              <c:strCache>
                <c:ptCount val="20"/>
                <c:pt idx="0">
                  <c:v>61</c:v>
                </c:pt>
                <c:pt idx="1">
                  <c:v>71,94444444</c:v>
                </c:pt>
                <c:pt idx="2">
                  <c:v>82,88888889</c:v>
                </c:pt>
                <c:pt idx="3">
                  <c:v>93,83333333</c:v>
                </c:pt>
                <c:pt idx="4">
                  <c:v>104,7777778</c:v>
                </c:pt>
                <c:pt idx="5">
                  <c:v>115,7222222</c:v>
                </c:pt>
                <c:pt idx="6">
                  <c:v>126,6666667</c:v>
                </c:pt>
                <c:pt idx="7">
                  <c:v>137,6111111</c:v>
                </c:pt>
                <c:pt idx="8">
                  <c:v>148,5555556</c:v>
                </c:pt>
                <c:pt idx="9">
                  <c:v>159,5</c:v>
                </c:pt>
                <c:pt idx="10">
                  <c:v>170,4444444</c:v>
                </c:pt>
                <c:pt idx="11">
                  <c:v>181,3888889</c:v>
                </c:pt>
                <c:pt idx="12">
                  <c:v>192,3333333</c:v>
                </c:pt>
                <c:pt idx="13">
                  <c:v>203,2777778</c:v>
                </c:pt>
                <c:pt idx="14">
                  <c:v>214,2222222</c:v>
                </c:pt>
                <c:pt idx="15">
                  <c:v>225,1666667</c:v>
                </c:pt>
                <c:pt idx="16">
                  <c:v>236,1111111</c:v>
                </c:pt>
                <c:pt idx="17">
                  <c:v>247,0555556</c:v>
                </c:pt>
                <c:pt idx="18">
                  <c:v>258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анализ'!$B$49:$B$68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30</c:v>
                </c:pt>
                <c:pt idx="4">
                  <c:v>27</c:v>
                </c:pt>
                <c:pt idx="5">
                  <c:v>31</c:v>
                </c:pt>
                <c:pt idx="6">
                  <c:v>25</c:v>
                </c:pt>
                <c:pt idx="7">
                  <c:v>6</c:v>
                </c:pt>
                <c:pt idx="8">
                  <c:v>15</c:v>
                </c:pt>
                <c:pt idx="9">
                  <c:v>5</c:v>
                </c:pt>
                <c:pt idx="10">
                  <c:v>2</c:v>
                </c:pt>
                <c:pt idx="11">
                  <c:v>10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D-400F-9C7D-CF9FAA374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7423856"/>
        <c:axId val="-1257428752"/>
      </c:barChart>
      <c:catAx>
        <c:axId val="-1257423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8752"/>
        <c:crosses val="autoZero"/>
        <c:auto val="1"/>
        <c:lblAlgn val="ctr"/>
        <c:lblOffset val="100"/>
        <c:noMultiLvlLbl val="0"/>
      </c:catAx>
      <c:valAx>
        <c:axId val="-1257428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3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анализ'!$D$49:$D$68</c:f>
              <c:strCache>
                <c:ptCount val="20"/>
                <c:pt idx="0">
                  <c:v>5118</c:v>
                </c:pt>
                <c:pt idx="1">
                  <c:v>6781,222222</c:v>
                </c:pt>
                <c:pt idx="2">
                  <c:v>8444,444444</c:v>
                </c:pt>
                <c:pt idx="3">
                  <c:v>10107,66667</c:v>
                </c:pt>
                <c:pt idx="4">
                  <c:v>11770,88889</c:v>
                </c:pt>
                <c:pt idx="5">
                  <c:v>13434,11111</c:v>
                </c:pt>
                <c:pt idx="6">
                  <c:v>15097,33333</c:v>
                </c:pt>
                <c:pt idx="7">
                  <c:v>16760,55556</c:v>
                </c:pt>
                <c:pt idx="8">
                  <c:v>18423,77778</c:v>
                </c:pt>
                <c:pt idx="9">
                  <c:v>20087</c:v>
                </c:pt>
                <c:pt idx="10">
                  <c:v>21750,22222</c:v>
                </c:pt>
                <c:pt idx="11">
                  <c:v>23413,44444</c:v>
                </c:pt>
                <c:pt idx="12">
                  <c:v>25076,66667</c:v>
                </c:pt>
                <c:pt idx="13">
                  <c:v>26739,88889</c:v>
                </c:pt>
                <c:pt idx="14">
                  <c:v>28403,11111</c:v>
                </c:pt>
                <c:pt idx="15">
                  <c:v>30066,33333</c:v>
                </c:pt>
                <c:pt idx="16">
                  <c:v>31729,55556</c:v>
                </c:pt>
                <c:pt idx="17">
                  <c:v>33392,77778</c:v>
                </c:pt>
                <c:pt idx="18">
                  <c:v>35056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анализ'!$E$49:$E$68</c:f>
              <c:numCache>
                <c:formatCode>General</c:formatCode>
                <c:ptCount val="20"/>
                <c:pt idx="0">
                  <c:v>1</c:v>
                </c:pt>
                <c:pt idx="1">
                  <c:v>24</c:v>
                </c:pt>
                <c:pt idx="2">
                  <c:v>42</c:v>
                </c:pt>
                <c:pt idx="3">
                  <c:v>27</c:v>
                </c:pt>
                <c:pt idx="4">
                  <c:v>13</c:v>
                </c:pt>
                <c:pt idx="5">
                  <c:v>8</c:v>
                </c:pt>
                <c:pt idx="6">
                  <c:v>5</c:v>
                </c:pt>
                <c:pt idx="7">
                  <c:v>9</c:v>
                </c:pt>
                <c:pt idx="8">
                  <c:v>13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4-4F05-86E5-EAA98CD53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7424944"/>
        <c:axId val="-1257427120"/>
      </c:barChart>
      <c:catAx>
        <c:axId val="-125742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7120"/>
        <c:crosses val="autoZero"/>
        <c:auto val="1"/>
        <c:lblAlgn val="ctr"/>
        <c:lblOffset val="100"/>
        <c:noMultiLvlLbl val="0"/>
      </c:catAx>
      <c:valAx>
        <c:axId val="-1257427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4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анализ'!$G$49:$G$68</c:f>
              <c:strCache>
                <c:ptCount val="20"/>
                <c:pt idx="0">
                  <c:v>4150</c:v>
                </c:pt>
                <c:pt idx="1">
                  <c:v>4286,111111</c:v>
                </c:pt>
                <c:pt idx="2">
                  <c:v>4422,222222</c:v>
                </c:pt>
                <c:pt idx="3">
                  <c:v>4558,333333</c:v>
                </c:pt>
                <c:pt idx="4">
                  <c:v>4694,444444</c:v>
                </c:pt>
                <c:pt idx="5">
                  <c:v>4830,555556</c:v>
                </c:pt>
                <c:pt idx="6">
                  <c:v>4966,666667</c:v>
                </c:pt>
                <c:pt idx="7">
                  <c:v>5102,777778</c:v>
                </c:pt>
                <c:pt idx="8">
                  <c:v>5238,888889</c:v>
                </c:pt>
                <c:pt idx="9">
                  <c:v>5375</c:v>
                </c:pt>
                <c:pt idx="10">
                  <c:v>5511,111111</c:v>
                </c:pt>
                <c:pt idx="11">
                  <c:v>5647,222222</c:v>
                </c:pt>
                <c:pt idx="12">
                  <c:v>5783,333333</c:v>
                </c:pt>
                <c:pt idx="13">
                  <c:v>5919,444444</c:v>
                </c:pt>
                <c:pt idx="14">
                  <c:v>6055,555556</c:v>
                </c:pt>
                <c:pt idx="15">
                  <c:v>6191,666667</c:v>
                </c:pt>
                <c:pt idx="16">
                  <c:v>6327,777778</c:v>
                </c:pt>
                <c:pt idx="17">
                  <c:v>6463,888889</c:v>
                </c:pt>
                <c:pt idx="18">
                  <c:v>6600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анализ'!$H$49:$H$68</c:f>
              <c:numCache>
                <c:formatCode>General</c:formatCode>
                <c:ptCount val="20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  <c:pt idx="5">
                  <c:v>37</c:v>
                </c:pt>
                <c:pt idx="6">
                  <c:v>1</c:v>
                </c:pt>
                <c:pt idx="7">
                  <c:v>18</c:v>
                </c:pt>
                <c:pt idx="8">
                  <c:v>22</c:v>
                </c:pt>
                <c:pt idx="9">
                  <c:v>8</c:v>
                </c:pt>
                <c:pt idx="10">
                  <c:v>38</c:v>
                </c:pt>
                <c:pt idx="11">
                  <c:v>1</c:v>
                </c:pt>
                <c:pt idx="12">
                  <c:v>0</c:v>
                </c:pt>
                <c:pt idx="13">
                  <c:v>7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AC-4385-86C0-ADC631ACD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7427664"/>
        <c:axId val="-1257426576"/>
      </c:barChart>
      <c:catAx>
        <c:axId val="-125742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6576"/>
        <c:crosses val="autoZero"/>
        <c:auto val="1"/>
        <c:lblAlgn val="ctr"/>
        <c:lblOffset val="100"/>
        <c:noMultiLvlLbl val="0"/>
      </c:catAx>
      <c:valAx>
        <c:axId val="-12574265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7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анализ'!$J$49:$J$68</c:f>
              <c:strCache>
                <c:ptCount val="20"/>
                <c:pt idx="0">
                  <c:v>48</c:v>
                </c:pt>
                <c:pt idx="1">
                  <c:v>56,44444444</c:v>
                </c:pt>
                <c:pt idx="2">
                  <c:v>64,88888889</c:v>
                </c:pt>
                <c:pt idx="3">
                  <c:v>73,33333333</c:v>
                </c:pt>
                <c:pt idx="4">
                  <c:v>81,77777778</c:v>
                </c:pt>
                <c:pt idx="5">
                  <c:v>90,22222222</c:v>
                </c:pt>
                <c:pt idx="6">
                  <c:v>98,66666667</c:v>
                </c:pt>
                <c:pt idx="7">
                  <c:v>107,1111111</c:v>
                </c:pt>
                <c:pt idx="8">
                  <c:v>115,5555556</c:v>
                </c:pt>
                <c:pt idx="9">
                  <c:v>124</c:v>
                </c:pt>
                <c:pt idx="10">
                  <c:v>132,4444444</c:v>
                </c:pt>
                <c:pt idx="11">
                  <c:v>140,8888889</c:v>
                </c:pt>
                <c:pt idx="12">
                  <c:v>149,3333333</c:v>
                </c:pt>
                <c:pt idx="13">
                  <c:v>157,7777778</c:v>
                </c:pt>
                <c:pt idx="14">
                  <c:v>166,2222222</c:v>
                </c:pt>
                <c:pt idx="15">
                  <c:v>174,6666667</c:v>
                </c:pt>
                <c:pt idx="16">
                  <c:v>183,1111111</c:v>
                </c:pt>
                <c:pt idx="17">
                  <c:v>191,5555556</c:v>
                </c:pt>
                <c:pt idx="18">
                  <c:v>200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анализ'!$K$49:$K$68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8</c:v>
                </c:pt>
                <c:pt idx="3">
                  <c:v>40</c:v>
                </c:pt>
                <c:pt idx="4">
                  <c:v>5</c:v>
                </c:pt>
                <c:pt idx="5">
                  <c:v>23</c:v>
                </c:pt>
                <c:pt idx="6">
                  <c:v>14</c:v>
                </c:pt>
                <c:pt idx="7">
                  <c:v>10</c:v>
                </c:pt>
                <c:pt idx="8">
                  <c:v>16</c:v>
                </c:pt>
                <c:pt idx="9">
                  <c:v>16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9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7D-4DC9-B728-042A76D15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7426032"/>
        <c:axId val="-1257425488"/>
      </c:barChart>
      <c:catAx>
        <c:axId val="-125742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5488"/>
        <c:crosses val="autoZero"/>
        <c:auto val="1"/>
        <c:lblAlgn val="ctr"/>
        <c:lblOffset val="100"/>
        <c:noMultiLvlLbl val="0"/>
      </c:catAx>
      <c:valAx>
        <c:axId val="-1257425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6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анализ'!$M$49:$M$68</c:f>
              <c:strCache>
                <c:ptCount val="20"/>
                <c:pt idx="0">
                  <c:v>86,6</c:v>
                </c:pt>
                <c:pt idx="1">
                  <c:v>88,21111111</c:v>
                </c:pt>
                <c:pt idx="2">
                  <c:v>89,82222222</c:v>
                </c:pt>
                <c:pt idx="3">
                  <c:v>91,43333333</c:v>
                </c:pt>
                <c:pt idx="4">
                  <c:v>93,04444444</c:v>
                </c:pt>
                <c:pt idx="5">
                  <c:v>94,65555556</c:v>
                </c:pt>
                <c:pt idx="6">
                  <c:v>96,26666667</c:v>
                </c:pt>
                <c:pt idx="7">
                  <c:v>97,87777778</c:v>
                </c:pt>
                <c:pt idx="8">
                  <c:v>99,48888889</c:v>
                </c:pt>
                <c:pt idx="9">
                  <c:v>101,1</c:v>
                </c:pt>
                <c:pt idx="10">
                  <c:v>102,7111111</c:v>
                </c:pt>
                <c:pt idx="11">
                  <c:v>104,3222222</c:v>
                </c:pt>
                <c:pt idx="12">
                  <c:v>105,9333333</c:v>
                </c:pt>
                <c:pt idx="13">
                  <c:v>107,5444444</c:v>
                </c:pt>
                <c:pt idx="14">
                  <c:v>109,1555556</c:v>
                </c:pt>
                <c:pt idx="15">
                  <c:v>110,7666667</c:v>
                </c:pt>
                <c:pt idx="16">
                  <c:v>112,3777778</c:v>
                </c:pt>
                <c:pt idx="17">
                  <c:v>113,9888889</c:v>
                </c:pt>
                <c:pt idx="18">
                  <c:v>115,6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анализ'!$N$49:$N$68</c:f>
              <c:numCache>
                <c:formatCode>General</c:formatCode>
                <c:ptCount val="20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42</c:v>
                </c:pt>
                <c:pt idx="6">
                  <c:v>15</c:v>
                </c:pt>
                <c:pt idx="7">
                  <c:v>33</c:v>
                </c:pt>
                <c:pt idx="8">
                  <c:v>19</c:v>
                </c:pt>
                <c:pt idx="9">
                  <c:v>4</c:v>
                </c:pt>
                <c:pt idx="10">
                  <c:v>9</c:v>
                </c:pt>
                <c:pt idx="11">
                  <c:v>10</c:v>
                </c:pt>
                <c:pt idx="12">
                  <c:v>4</c:v>
                </c:pt>
                <c:pt idx="13">
                  <c:v>1</c:v>
                </c:pt>
                <c:pt idx="14">
                  <c:v>12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F0-4765-B913-28AC6F263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7424400"/>
        <c:axId val="-1257428208"/>
      </c:barChart>
      <c:catAx>
        <c:axId val="-125742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8208"/>
        <c:crosses val="autoZero"/>
        <c:auto val="1"/>
        <c:lblAlgn val="ctr"/>
        <c:lblOffset val="100"/>
        <c:noMultiLvlLbl val="0"/>
      </c:catAx>
      <c:valAx>
        <c:axId val="-12574282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7424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'Дескриптивный анализ'!$P$49:$P$68</c:f>
              <c:strCache>
                <c:ptCount val="20"/>
                <c:pt idx="0">
                  <c:v>60,3</c:v>
                </c:pt>
                <c:pt idx="1">
                  <c:v>60,93333333</c:v>
                </c:pt>
                <c:pt idx="2">
                  <c:v>61,56666667</c:v>
                </c:pt>
                <c:pt idx="3">
                  <c:v>62,2</c:v>
                </c:pt>
                <c:pt idx="4">
                  <c:v>62,83333333</c:v>
                </c:pt>
                <c:pt idx="5">
                  <c:v>63,46666667</c:v>
                </c:pt>
                <c:pt idx="6">
                  <c:v>64,1</c:v>
                </c:pt>
                <c:pt idx="7">
                  <c:v>64,73333333</c:v>
                </c:pt>
                <c:pt idx="8">
                  <c:v>65,36666667</c:v>
                </c:pt>
                <c:pt idx="9">
                  <c:v>66</c:v>
                </c:pt>
                <c:pt idx="10">
                  <c:v>66,63333333</c:v>
                </c:pt>
                <c:pt idx="11">
                  <c:v>67,26666667</c:v>
                </c:pt>
                <c:pt idx="12">
                  <c:v>67,9</c:v>
                </c:pt>
                <c:pt idx="13">
                  <c:v>68,53333333</c:v>
                </c:pt>
                <c:pt idx="14">
                  <c:v>69,16666667</c:v>
                </c:pt>
                <c:pt idx="15">
                  <c:v>69,8</c:v>
                </c:pt>
                <c:pt idx="16">
                  <c:v>70,43333333</c:v>
                </c:pt>
                <c:pt idx="17">
                  <c:v>71,06666667</c:v>
                </c:pt>
                <c:pt idx="18">
                  <c:v>71,7</c:v>
                </c:pt>
                <c:pt idx="19">
                  <c:v>Еще</c:v>
                </c:pt>
              </c:strCache>
            </c:strRef>
          </c:cat>
          <c:val>
            <c:numRef>
              <c:f>'Дескриптивный анализ'!$Q$49:$Q$68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44</c:v>
                </c:pt>
                <c:pt idx="7">
                  <c:v>17</c:v>
                </c:pt>
                <c:pt idx="8">
                  <c:v>10</c:v>
                </c:pt>
                <c:pt idx="9">
                  <c:v>29</c:v>
                </c:pt>
                <c:pt idx="10">
                  <c:v>24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D-44D7-949E-A0ED87DA1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3573184"/>
        <c:axId val="-1253578080"/>
      </c:barChart>
      <c:catAx>
        <c:axId val="-125357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78080"/>
        <c:crosses val="autoZero"/>
        <c:auto val="1"/>
        <c:lblAlgn val="ctr"/>
        <c:lblOffset val="100"/>
        <c:noMultiLvlLbl val="0"/>
      </c:catAx>
      <c:valAx>
        <c:axId val="-1253578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73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остатков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модель'!$C$25:$C$183</c:f>
              <c:numCache>
                <c:formatCode>General</c:formatCode>
                <c:ptCount val="159"/>
                <c:pt idx="0">
                  <c:v>-34.82975928384144</c:v>
                </c:pt>
                <c:pt idx="1">
                  <c:v>-33.484445098249864</c:v>
                </c:pt>
                <c:pt idx="2">
                  <c:v>-25.063551928223603</c:v>
                </c:pt>
                <c:pt idx="3">
                  <c:v>-25.063551928223603</c:v>
                </c:pt>
                <c:pt idx="4">
                  <c:v>-25.063551928223603</c:v>
                </c:pt>
                <c:pt idx="5">
                  <c:v>-25.063551928223603</c:v>
                </c:pt>
                <c:pt idx="6">
                  <c:v>34.521600669661282</c:v>
                </c:pt>
                <c:pt idx="7">
                  <c:v>0.33214824699111034</c:v>
                </c:pt>
                <c:pt idx="8">
                  <c:v>-10.943632722076956</c:v>
                </c:pt>
                <c:pt idx="9">
                  <c:v>21.142695824320938</c:v>
                </c:pt>
                <c:pt idx="10">
                  <c:v>-5.8740995055534313</c:v>
                </c:pt>
                <c:pt idx="11">
                  <c:v>-11.503592325150294</c:v>
                </c:pt>
                <c:pt idx="12">
                  <c:v>-11.503592325150294</c:v>
                </c:pt>
                <c:pt idx="13">
                  <c:v>53.574338556310408</c:v>
                </c:pt>
                <c:pt idx="14">
                  <c:v>46.33214824699111</c:v>
                </c:pt>
                <c:pt idx="15">
                  <c:v>57.340545911928288</c:v>
                </c:pt>
                <c:pt idx="16">
                  <c:v>62.71105309233144</c:v>
                </c:pt>
                <c:pt idx="17">
                  <c:v>57.340545911928288</c:v>
                </c:pt>
                <c:pt idx="18">
                  <c:v>13.574338556310408</c:v>
                </c:pt>
                <c:pt idx="19">
                  <c:v>7.1510934892581304</c:v>
                </c:pt>
                <c:pt idx="20">
                  <c:v>34.064764942860222</c:v>
                </c:pt>
                <c:pt idx="21">
                  <c:v>62.71105309233144</c:v>
                </c:pt>
                <c:pt idx="22">
                  <c:v>-27.676249417946082</c:v>
                </c:pt>
                <c:pt idx="23">
                  <c:v>0.4268744583261963</c:v>
                </c:pt>
                <c:pt idx="24">
                  <c:v>-1.7625779643439756</c:v>
                </c:pt>
                <c:pt idx="25">
                  <c:v>5.4268744583261963</c:v>
                </c:pt>
                <c:pt idx="26">
                  <c:v>13.574338556310408</c:v>
                </c:pt>
                <c:pt idx="27">
                  <c:v>14.357341241802672</c:v>
                </c:pt>
                <c:pt idx="28">
                  <c:v>-27.676249417946082</c:v>
                </c:pt>
                <c:pt idx="29">
                  <c:v>0.33214824699111034</c:v>
                </c:pt>
                <c:pt idx="30">
                  <c:v>0.52999833459846002</c:v>
                </c:pt>
                <c:pt idx="31">
                  <c:v>22.76379097898058</c:v>
                </c:pt>
                <c:pt idx="32">
                  <c:v>0.33214824699111034</c:v>
                </c:pt>
                <c:pt idx="33">
                  <c:v>14.357341241802672</c:v>
                </c:pt>
                <c:pt idx="34">
                  <c:v>22.76379097898058</c:v>
                </c:pt>
                <c:pt idx="35">
                  <c:v>0.33214824699111034</c:v>
                </c:pt>
                <c:pt idx="36">
                  <c:v>17.76379097898058</c:v>
                </c:pt>
                <c:pt idx="37">
                  <c:v>-1.47000166540154</c:v>
                </c:pt>
                <c:pt idx="38">
                  <c:v>12.71105309233144</c:v>
                </c:pt>
                <c:pt idx="39">
                  <c:v>12.71105309233144</c:v>
                </c:pt>
                <c:pt idx="40">
                  <c:v>5.5743385563104084</c:v>
                </c:pt>
                <c:pt idx="41">
                  <c:v>14.538395999535652</c:v>
                </c:pt>
                <c:pt idx="42">
                  <c:v>5.5743385563104084</c:v>
                </c:pt>
                <c:pt idx="43">
                  <c:v>5.5743385563104084</c:v>
                </c:pt>
                <c:pt idx="44">
                  <c:v>0.33214824699111034</c:v>
                </c:pt>
                <c:pt idx="45">
                  <c:v>-27.676249417946082</c:v>
                </c:pt>
                <c:pt idx="46">
                  <c:v>19.047969612985852</c:v>
                </c:pt>
                <c:pt idx="47">
                  <c:v>12.719450757268632</c:v>
                </c:pt>
                <c:pt idx="48">
                  <c:v>0.33214824699111034</c:v>
                </c:pt>
                <c:pt idx="49">
                  <c:v>12.71105309233144</c:v>
                </c:pt>
                <c:pt idx="50">
                  <c:v>0.52999833459846002</c:v>
                </c:pt>
                <c:pt idx="51">
                  <c:v>12.71105309233144</c:v>
                </c:pt>
                <c:pt idx="52">
                  <c:v>24.357341241802672</c:v>
                </c:pt>
                <c:pt idx="53">
                  <c:v>-1.7625779643439756</c:v>
                </c:pt>
                <c:pt idx="54">
                  <c:v>24.357341241802672</c:v>
                </c:pt>
                <c:pt idx="55">
                  <c:v>-6.1078921499355658</c:v>
                </c:pt>
                <c:pt idx="56">
                  <c:v>-14.107892149935566</c:v>
                </c:pt>
                <c:pt idx="57">
                  <c:v>-1.7625779643439756</c:v>
                </c:pt>
                <c:pt idx="58">
                  <c:v>-6.1078921499355658</c:v>
                </c:pt>
                <c:pt idx="59">
                  <c:v>-15.280549242731368</c:v>
                </c:pt>
                <c:pt idx="60">
                  <c:v>-14.107892149935566</c:v>
                </c:pt>
                <c:pt idx="61">
                  <c:v>11.719450757268632</c:v>
                </c:pt>
                <c:pt idx="62">
                  <c:v>-2.2805492427313681</c:v>
                </c:pt>
                <c:pt idx="63">
                  <c:v>-14.107892149935566</c:v>
                </c:pt>
                <c:pt idx="64">
                  <c:v>7.357341241802672</c:v>
                </c:pt>
                <c:pt idx="65">
                  <c:v>12.538395999535652</c:v>
                </c:pt>
                <c:pt idx="66">
                  <c:v>-1.7625779643439756</c:v>
                </c:pt>
                <c:pt idx="67">
                  <c:v>-6.1078921499355658</c:v>
                </c:pt>
                <c:pt idx="68">
                  <c:v>2.538395999535652</c:v>
                </c:pt>
                <c:pt idx="69">
                  <c:v>7.357341241802672</c:v>
                </c:pt>
                <c:pt idx="70">
                  <c:v>27.719450757268632</c:v>
                </c:pt>
                <c:pt idx="71">
                  <c:v>-1.7625779643439756</c:v>
                </c:pt>
                <c:pt idx="72">
                  <c:v>0.52999833459846002</c:v>
                </c:pt>
                <c:pt idx="73">
                  <c:v>33.54679366447283</c:v>
                </c:pt>
                <c:pt idx="74">
                  <c:v>-9.6342610932601502</c:v>
                </c:pt>
                <c:pt idx="75">
                  <c:v>33.54679366447283</c:v>
                </c:pt>
                <c:pt idx="76">
                  <c:v>27.719450757268632</c:v>
                </c:pt>
                <c:pt idx="77">
                  <c:v>27.719450757268632</c:v>
                </c:pt>
                <c:pt idx="78">
                  <c:v>-8.4532063355271703</c:v>
                </c:pt>
                <c:pt idx="79">
                  <c:v>-4.642658758197328</c:v>
                </c:pt>
                <c:pt idx="80">
                  <c:v>-2.2805492427313681</c:v>
                </c:pt>
                <c:pt idx="81">
                  <c:v>0.52999833459846002</c:v>
                </c:pt>
                <c:pt idx="82">
                  <c:v>-6.1078921499355658</c:v>
                </c:pt>
                <c:pt idx="83">
                  <c:v>-10.107892149935566</c:v>
                </c:pt>
                <c:pt idx="84">
                  <c:v>-10.107892149935566</c:v>
                </c:pt>
                <c:pt idx="85">
                  <c:v>-2.2805492427313681</c:v>
                </c:pt>
                <c:pt idx="86">
                  <c:v>-14.107892149935566</c:v>
                </c:pt>
                <c:pt idx="87">
                  <c:v>-11.539534881925064</c:v>
                </c:pt>
                <c:pt idx="88">
                  <c:v>-10.107892149935566</c:v>
                </c:pt>
                <c:pt idx="89">
                  <c:v>-14.107892149935566</c:v>
                </c:pt>
                <c:pt idx="90">
                  <c:v>-2.461604000464348</c:v>
                </c:pt>
                <c:pt idx="91">
                  <c:v>-1.7625779643439756</c:v>
                </c:pt>
                <c:pt idx="92">
                  <c:v>-8.4532063355271703</c:v>
                </c:pt>
                <c:pt idx="93">
                  <c:v>-8.6342610932601502</c:v>
                </c:pt>
                <c:pt idx="94">
                  <c:v>-8.4532063355271703</c:v>
                </c:pt>
                <c:pt idx="95">
                  <c:v>-2.461604000464348</c:v>
                </c:pt>
                <c:pt idx="96">
                  <c:v>-10.107892149935566</c:v>
                </c:pt>
                <c:pt idx="97">
                  <c:v>-8.4532063355271703</c:v>
                </c:pt>
                <c:pt idx="98">
                  <c:v>-4.642658758197328</c:v>
                </c:pt>
                <c:pt idx="99">
                  <c:v>-8.6342610932601502</c:v>
                </c:pt>
                <c:pt idx="100">
                  <c:v>-25.63426109326015</c:v>
                </c:pt>
                <c:pt idx="101">
                  <c:v>-2.461604000464348</c:v>
                </c:pt>
                <c:pt idx="102">
                  <c:v>23.54679366447283</c:v>
                </c:pt>
                <c:pt idx="103">
                  <c:v>23.54679366447283</c:v>
                </c:pt>
                <c:pt idx="104">
                  <c:v>-11.539534881925064</c:v>
                </c:pt>
                <c:pt idx="105">
                  <c:v>-32.280549242731368</c:v>
                </c:pt>
                <c:pt idx="106">
                  <c:v>-2.2805492427313681</c:v>
                </c:pt>
                <c:pt idx="107">
                  <c:v>-8.6342610932601502</c:v>
                </c:pt>
                <c:pt idx="108">
                  <c:v>-32.280549242731368</c:v>
                </c:pt>
                <c:pt idx="109">
                  <c:v>-4.642658758197328</c:v>
                </c:pt>
                <c:pt idx="110">
                  <c:v>-25.63426109326015</c:v>
                </c:pt>
                <c:pt idx="111">
                  <c:v>-8.4532063355271703</c:v>
                </c:pt>
                <c:pt idx="112">
                  <c:v>23.54679366447283</c:v>
                </c:pt>
                <c:pt idx="113">
                  <c:v>-3.9016443973910242</c:v>
                </c:pt>
                <c:pt idx="114">
                  <c:v>-10.45320633552717</c:v>
                </c:pt>
                <c:pt idx="115">
                  <c:v>-13.642658758197328</c:v>
                </c:pt>
                <c:pt idx="116">
                  <c:v>-8.6342610932601502</c:v>
                </c:pt>
                <c:pt idx="117">
                  <c:v>-4.642658758197328</c:v>
                </c:pt>
                <c:pt idx="118">
                  <c:v>-4.7205896396580442</c:v>
                </c:pt>
                <c:pt idx="119">
                  <c:v>-8.6342610932601502</c:v>
                </c:pt>
                <c:pt idx="120">
                  <c:v>-8.6342610932601502</c:v>
                </c:pt>
                <c:pt idx="121">
                  <c:v>2.4604651180749357</c:v>
                </c:pt>
                <c:pt idx="122">
                  <c:v>2.4604651180749357</c:v>
                </c:pt>
                <c:pt idx="123">
                  <c:v>-8.4532063355271703</c:v>
                </c:pt>
                <c:pt idx="124">
                  <c:v>2.4604651180749357</c:v>
                </c:pt>
                <c:pt idx="125">
                  <c:v>-4.642658758197328</c:v>
                </c:pt>
                <c:pt idx="126">
                  <c:v>-27.547932546862242</c:v>
                </c:pt>
                <c:pt idx="127">
                  <c:v>-13.642658758197328</c:v>
                </c:pt>
                <c:pt idx="128">
                  <c:v>-10.107892149935566</c:v>
                </c:pt>
                <c:pt idx="129">
                  <c:v>-8.4532063355271703</c:v>
                </c:pt>
                <c:pt idx="130">
                  <c:v>-11.539534881925064</c:v>
                </c:pt>
                <c:pt idx="131">
                  <c:v>2.4604651180749357</c:v>
                </c:pt>
                <c:pt idx="132">
                  <c:v>-8.6342610932601502</c:v>
                </c:pt>
                <c:pt idx="133">
                  <c:v>-4.7205896396580442</c:v>
                </c:pt>
                <c:pt idx="134">
                  <c:v>-4.7205896396580442</c:v>
                </c:pt>
                <c:pt idx="135">
                  <c:v>-3.9016443973910242</c:v>
                </c:pt>
                <c:pt idx="136">
                  <c:v>-3.9016443973910242</c:v>
                </c:pt>
                <c:pt idx="137">
                  <c:v>-5.5395348819250643</c:v>
                </c:pt>
                <c:pt idx="138">
                  <c:v>-8.6342610932601502</c:v>
                </c:pt>
                <c:pt idx="139">
                  <c:v>-1.9016443973910242</c:v>
                </c:pt>
                <c:pt idx="140">
                  <c:v>2.4604651180749357</c:v>
                </c:pt>
                <c:pt idx="141">
                  <c:v>-11.539534881925064</c:v>
                </c:pt>
                <c:pt idx="142">
                  <c:v>-15.539534881925064</c:v>
                </c:pt>
                <c:pt idx="143">
                  <c:v>-3.9016443973910242</c:v>
                </c:pt>
                <c:pt idx="144">
                  <c:v>-11.539534881925064</c:v>
                </c:pt>
                <c:pt idx="145">
                  <c:v>-1.9016443973910242</c:v>
                </c:pt>
                <c:pt idx="146">
                  <c:v>-3.9016443973910242</c:v>
                </c:pt>
                <c:pt idx="147">
                  <c:v>-3.9016443973910242</c:v>
                </c:pt>
                <c:pt idx="148">
                  <c:v>-5.5395348819250643</c:v>
                </c:pt>
                <c:pt idx="149">
                  <c:v>-4.7205896396580442</c:v>
                </c:pt>
                <c:pt idx="150">
                  <c:v>-3.9016443973910242</c:v>
                </c:pt>
                <c:pt idx="151">
                  <c:v>-3.9016443973910242</c:v>
                </c:pt>
                <c:pt idx="152">
                  <c:v>-8.6342610932601502</c:v>
                </c:pt>
                <c:pt idx="153">
                  <c:v>-2.8932467324538464</c:v>
                </c:pt>
                <c:pt idx="154">
                  <c:v>-5.5395348819250643</c:v>
                </c:pt>
                <c:pt idx="155">
                  <c:v>-11.539534881925064</c:v>
                </c:pt>
                <c:pt idx="156">
                  <c:v>-4.7205896396580442</c:v>
                </c:pt>
                <c:pt idx="157">
                  <c:v>-0.15223237164753556</c:v>
                </c:pt>
                <c:pt idx="158">
                  <c:v>-8.6342610932601502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C0-4552-99C9-49E892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3582432"/>
        <c:axId val="-1253583520"/>
      </c:scatterChart>
      <c:valAx>
        <c:axId val="-125358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253583520"/>
        <c:crosses val="autoZero"/>
        <c:crossBetween val="midCat"/>
      </c:valAx>
      <c:valAx>
        <c:axId val="-1253583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Остатки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подбора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horsepower</c:v>
          </c:tx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'Исх. данные'!$AD$2:$AD$160</c:f>
              <c:numCache>
                <c:formatCode>0.00</c:formatCode>
                <c:ptCount val="159"/>
                <c:pt idx="0">
                  <c:v>155</c:v>
                </c:pt>
                <c:pt idx="1">
                  <c:v>176</c:v>
                </c:pt>
                <c:pt idx="2">
                  <c:v>123</c:v>
                </c:pt>
                <c:pt idx="3">
                  <c:v>123</c:v>
                </c:pt>
                <c:pt idx="4">
                  <c:v>123</c:v>
                </c:pt>
                <c:pt idx="5">
                  <c:v>123</c:v>
                </c:pt>
                <c:pt idx="6">
                  <c:v>140</c:v>
                </c:pt>
                <c:pt idx="7">
                  <c:v>114</c:v>
                </c:pt>
                <c:pt idx="8">
                  <c:v>106</c:v>
                </c:pt>
                <c:pt idx="9">
                  <c:v>143</c:v>
                </c:pt>
                <c:pt idx="10">
                  <c:v>134</c:v>
                </c:pt>
                <c:pt idx="11">
                  <c:v>121</c:v>
                </c:pt>
                <c:pt idx="12">
                  <c:v>121</c:v>
                </c:pt>
                <c:pt idx="13">
                  <c:v>200</c:v>
                </c:pt>
                <c:pt idx="14">
                  <c:v>160</c:v>
                </c:pt>
                <c:pt idx="15">
                  <c:v>162</c:v>
                </c:pt>
                <c:pt idx="16">
                  <c:v>160</c:v>
                </c:pt>
                <c:pt idx="17">
                  <c:v>162</c:v>
                </c:pt>
                <c:pt idx="18">
                  <c:v>160</c:v>
                </c:pt>
                <c:pt idx="19">
                  <c:v>120</c:v>
                </c:pt>
                <c:pt idx="20">
                  <c:v>142</c:v>
                </c:pt>
                <c:pt idx="21">
                  <c:v>160</c:v>
                </c:pt>
                <c:pt idx="22">
                  <c:v>95</c:v>
                </c:pt>
                <c:pt idx="23">
                  <c:v>110</c:v>
                </c:pt>
                <c:pt idx="24">
                  <c:v>116</c:v>
                </c:pt>
                <c:pt idx="25">
                  <c:v>115</c:v>
                </c:pt>
                <c:pt idx="26">
                  <c:v>160</c:v>
                </c:pt>
                <c:pt idx="27">
                  <c:v>101</c:v>
                </c:pt>
                <c:pt idx="28">
                  <c:v>95</c:v>
                </c:pt>
                <c:pt idx="29">
                  <c:v>114</c:v>
                </c:pt>
                <c:pt idx="30">
                  <c:v>97</c:v>
                </c:pt>
                <c:pt idx="31">
                  <c:v>161</c:v>
                </c:pt>
                <c:pt idx="32">
                  <c:v>114</c:v>
                </c:pt>
                <c:pt idx="33">
                  <c:v>101</c:v>
                </c:pt>
                <c:pt idx="34">
                  <c:v>161</c:v>
                </c:pt>
                <c:pt idx="35">
                  <c:v>114</c:v>
                </c:pt>
                <c:pt idx="36">
                  <c:v>156</c:v>
                </c:pt>
                <c:pt idx="37">
                  <c:v>95</c:v>
                </c:pt>
                <c:pt idx="38">
                  <c:v>110</c:v>
                </c:pt>
                <c:pt idx="39">
                  <c:v>110</c:v>
                </c:pt>
                <c:pt idx="40">
                  <c:v>152</c:v>
                </c:pt>
                <c:pt idx="41">
                  <c:v>102</c:v>
                </c:pt>
                <c:pt idx="42">
                  <c:v>152</c:v>
                </c:pt>
                <c:pt idx="43">
                  <c:v>152</c:v>
                </c:pt>
                <c:pt idx="44">
                  <c:v>114</c:v>
                </c:pt>
                <c:pt idx="45">
                  <c:v>95</c:v>
                </c:pt>
                <c:pt idx="46">
                  <c:v>145</c:v>
                </c:pt>
                <c:pt idx="47">
                  <c:v>101</c:v>
                </c:pt>
                <c:pt idx="48">
                  <c:v>114</c:v>
                </c:pt>
                <c:pt idx="49">
                  <c:v>110</c:v>
                </c:pt>
                <c:pt idx="50">
                  <c:v>97</c:v>
                </c:pt>
                <c:pt idx="51">
                  <c:v>110</c:v>
                </c:pt>
                <c:pt idx="52">
                  <c:v>111</c:v>
                </c:pt>
                <c:pt idx="53">
                  <c:v>116</c:v>
                </c:pt>
                <c:pt idx="54">
                  <c:v>111</c:v>
                </c:pt>
                <c:pt idx="55">
                  <c:v>92</c:v>
                </c:pt>
                <c:pt idx="56">
                  <c:v>84</c:v>
                </c:pt>
                <c:pt idx="57">
                  <c:v>116</c:v>
                </c:pt>
                <c:pt idx="58">
                  <c:v>92</c:v>
                </c:pt>
                <c:pt idx="59">
                  <c:v>73</c:v>
                </c:pt>
                <c:pt idx="60">
                  <c:v>84</c:v>
                </c:pt>
                <c:pt idx="61">
                  <c:v>100</c:v>
                </c:pt>
                <c:pt idx="62">
                  <c:v>86</c:v>
                </c:pt>
                <c:pt idx="63">
                  <c:v>84</c:v>
                </c:pt>
                <c:pt idx="64">
                  <c:v>94</c:v>
                </c:pt>
                <c:pt idx="65">
                  <c:v>100</c:v>
                </c:pt>
                <c:pt idx="66">
                  <c:v>116</c:v>
                </c:pt>
                <c:pt idx="67">
                  <c:v>92</c:v>
                </c:pt>
                <c:pt idx="68">
                  <c:v>90</c:v>
                </c:pt>
                <c:pt idx="69">
                  <c:v>94</c:v>
                </c:pt>
                <c:pt idx="70">
                  <c:v>116</c:v>
                </c:pt>
                <c:pt idx="71">
                  <c:v>116</c:v>
                </c:pt>
                <c:pt idx="72">
                  <c:v>97</c:v>
                </c:pt>
                <c:pt idx="73">
                  <c:v>112</c:v>
                </c:pt>
                <c:pt idx="74">
                  <c:v>68</c:v>
                </c:pt>
                <c:pt idx="75">
                  <c:v>112</c:v>
                </c:pt>
                <c:pt idx="76">
                  <c:v>116</c:v>
                </c:pt>
                <c:pt idx="77">
                  <c:v>116</c:v>
                </c:pt>
                <c:pt idx="78">
                  <c:v>70</c:v>
                </c:pt>
                <c:pt idx="79">
                  <c:v>82</c:v>
                </c:pt>
                <c:pt idx="80">
                  <c:v>86</c:v>
                </c:pt>
                <c:pt idx="81">
                  <c:v>97</c:v>
                </c:pt>
                <c:pt idx="82">
                  <c:v>92</c:v>
                </c:pt>
                <c:pt idx="83">
                  <c:v>88</c:v>
                </c:pt>
                <c:pt idx="84">
                  <c:v>88</c:v>
                </c:pt>
                <c:pt idx="85">
                  <c:v>86</c:v>
                </c:pt>
                <c:pt idx="86">
                  <c:v>84</c:v>
                </c:pt>
                <c:pt idx="87">
                  <c:v>62</c:v>
                </c:pt>
                <c:pt idx="88">
                  <c:v>88</c:v>
                </c:pt>
                <c:pt idx="89">
                  <c:v>84</c:v>
                </c:pt>
                <c:pt idx="90">
                  <c:v>85</c:v>
                </c:pt>
                <c:pt idx="91">
                  <c:v>116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85</c:v>
                </c:pt>
                <c:pt idx="96">
                  <c:v>88</c:v>
                </c:pt>
                <c:pt idx="97">
                  <c:v>70</c:v>
                </c:pt>
                <c:pt idx="98">
                  <c:v>82</c:v>
                </c:pt>
                <c:pt idx="99">
                  <c:v>69</c:v>
                </c:pt>
                <c:pt idx="100">
                  <c:v>52</c:v>
                </c:pt>
                <c:pt idx="101">
                  <c:v>85</c:v>
                </c:pt>
                <c:pt idx="102">
                  <c:v>102</c:v>
                </c:pt>
                <c:pt idx="103">
                  <c:v>102</c:v>
                </c:pt>
                <c:pt idx="104">
                  <c:v>62</c:v>
                </c:pt>
                <c:pt idx="105">
                  <c:v>56</c:v>
                </c:pt>
                <c:pt idx="106">
                  <c:v>86</c:v>
                </c:pt>
                <c:pt idx="107">
                  <c:v>69</c:v>
                </c:pt>
                <c:pt idx="108">
                  <c:v>56</c:v>
                </c:pt>
                <c:pt idx="109">
                  <c:v>82</c:v>
                </c:pt>
                <c:pt idx="110">
                  <c:v>52</c:v>
                </c:pt>
                <c:pt idx="111">
                  <c:v>70</c:v>
                </c:pt>
                <c:pt idx="112">
                  <c:v>102</c:v>
                </c:pt>
                <c:pt idx="113">
                  <c:v>68</c:v>
                </c:pt>
                <c:pt idx="114">
                  <c:v>68</c:v>
                </c:pt>
                <c:pt idx="115">
                  <c:v>73</c:v>
                </c:pt>
                <c:pt idx="116">
                  <c:v>69</c:v>
                </c:pt>
                <c:pt idx="117">
                  <c:v>82</c:v>
                </c:pt>
                <c:pt idx="118">
                  <c:v>68</c:v>
                </c:pt>
                <c:pt idx="119">
                  <c:v>69</c:v>
                </c:pt>
                <c:pt idx="120">
                  <c:v>69</c:v>
                </c:pt>
                <c:pt idx="121">
                  <c:v>76</c:v>
                </c:pt>
                <c:pt idx="122">
                  <c:v>76</c:v>
                </c:pt>
                <c:pt idx="123">
                  <c:v>70</c:v>
                </c:pt>
                <c:pt idx="124">
                  <c:v>76</c:v>
                </c:pt>
                <c:pt idx="125">
                  <c:v>82</c:v>
                </c:pt>
                <c:pt idx="126">
                  <c:v>55</c:v>
                </c:pt>
                <c:pt idx="127">
                  <c:v>73</c:v>
                </c:pt>
                <c:pt idx="128">
                  <c:v>88</c:v>
                </c:pt>
                <c:pt idx="129">
                  <c:v>70</c:v>
                </c:pt>
                <c:pt idx="130">
                  <c:v>62</c:v>
                </c:pt>
                <c:pt idx="131">
                  <c:v>76</c:v>
                </c:pt>
                <c:pt idx="132">
                  <c:v>69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76</c:v>
                </c:pt>
                <c:pt idx="141">
                  <c:v>62</c:v>
                </c:pt>
                <c:pt idx="142">
                  <c:v>58</c:v>
                </c:pt>
                <c:pt idx="143">
                  <c:v>68</c:v>
                </c:pt>
                <c:pt idx="144">
                  <c:v>62</c:v>
                </c:pt>
                <c:pt idx="145">
                  <c:v>70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60</c:v>
                </c:pt>
                <c:pt idx="154">
                  <c:v>68</c:v>
                </c:pt>
                <c:pt idx="155">
                  <c:v>62</c:v>
                </c:pt>
                <c:pt idx="156">
                  <c:v>68</c:v>
                </c:pt>
                <c:pt idx="157">
                  <c:v>48</c:v>
                </c:pt>
                <c:pt idx="158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21-4290-847C-4E431172EBC7}"/>
            </c:ext>
          </c:extLst>
        </c:ser>
        <c:ser>
          <c:idx val="1"/>
          <c:order val="1"/>
          <c:tx>
            <c:v>Предсказанное horsepower</c:v>
          </c:tx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модель'!$B$25:$B$183</c:f>
              <c:numCache>
                <c:formatCode>General</c:formatCode>
                <c:ptCount val="159"/>
                <c:pt idx="0">
                  <c:v>189.82975928384144</c:v>
                </c:pt>
                <c:pt idx="1">
                  <c:v>209.48444509824986</c:v>
                </c:pt>
                <c:pt idx="2">
                  <c:v>148.0635519282236</c:v>
                </c:pt>
                <c:pt idx="3">
                  <c:v>148.0635519282236</c:v>
                </c:pt>
                <c:pt idx="4">
                  <c:v>148.0635519282236</c:v>
                </c:pt>
                <c:pt idx="5">
                  <c:v>148.0635519282236</c:v>
                </c:pt>
                <c:pt idx="6">
                  <c:v>105.47839933033872</c:v>
                </c:pt>
                <c:pt idx="7">
                  <c:v>113.66785175300889</c:v>
                </c:pt>
                <c:pt idx="8">
                  <c:v>116.94363272207696</c:v>
                </c:pt>
                <c:pt idx="9">
                  <c:v>121.85730417567906</c:v>
                </c:pt>
                <c:pt idx="10">
                  <c:v>139.87409950555343</c:v>
                </c:pt>
                <c:pt idx="11">
                  <c:v>132.50359232515029</c:v>
                </c:pt>
                <c:pt idx="12">
                  <c:v>132.50359232515029</c:v>
                </c:pt>
                <c:pt idx="13">
                  <c:v>146.42566144368959</c:v>
                </c:pt>
                <c:pt idx="14">
                  <c:v>113.66785175300889</c:v>
                </c:pt>
                <c:pt idx="15">
                  <c:v>104.65945408807171</c:v>
                </c:pt>
                <c:pt idx="16">
                  <c:v>97.28894690766856</c:v>
                </c:pt>
                <c:pt idx="17">
                  <c:v>104.65945408807171</c:v>
                </c:pt>
                <c:pt idx="18">
                  <c:v>146.42566144368959</c:v>
                </c:pt>
                <c:pt idx="19">
                  <c:v>112.84890651074187</c:v>
                </c:pt>
                <c:pt idx="20">
                  <c:v>107.93523505713978</c:v>
                </c:pt>
                <c:pt idx="21">
                  <c:v>97.28894690766856</c:v>
                </c:pt>
                <c:pt idx="22">
                  <c:v>122.67624941794608</c:v>
                </c:pt>
                <c:pt idx="23">
                  <c:v>109.5731255416738</c:v>
                </c:pt>
                <c:pt idx="24">
                  <c:v>117.76257796434398</c:v>
                </c:pt>
                <c:pt idx="25">
                  <c:v>109.5731255416738</c:v>
                </c:pt>
                <c:pt idx="26">
                  <c:v>146.42566144368959</c:v>
                </c:pt>
                <c:pt idx="27">
                  <c:v>86.642658758197328</c:v>
                </c:pt>
                <c:pt idx="28">
                  <c:v>122.67624941794608</c:v>
                </c:pt>
                <c:pt idx="29">
                  <c:v>113.66785175300889</c:v>
                </c:pt>
                <c:pt idx="30">
                  <c:v>96.47000166540154</c:v>
                </c:pt>
                <c:pt idx="31">
                  <c:v>138.23620902101942</c:v>
                </c:pt>
                <c:pt idx="32">
                  <c:v>113.66785175300889</c:v>
                </c:pt>
                <c:pt idx="33">
                  <c:v>86.642658758197328</c:v>
                </c:pt>
                <c:pt idx="34">
                  <c:v>138.23620902101942</c:v>
                </c:pt>
                <c:pt idx="35">
                  <c:v>113.66785175300889</c:v>
                </c:pt>
                <c:pt idx="36">
                  <c:v>138.23620902101942</c:v>
                </c:pt>
                <c:pt idx="37">
                  <c:v>96.47000166540154</c:v>
                </c:pt>
                <c:pt idx="38">
                  <c:v>97.28894690766856</c:v>
                </c:pt>
                <c:pt idx="39">
                  <c:v>97.28894690766856</c:v>
                </c:pt>
                <c:pt idx="40">
                  <c:v>146.42566144368959</c:v>
                </c:pt>
                <c:pt idx="41">
                  <c:v>87.461604000464348</c:v>
                </c:pt>
                <c:pt idx="42">
                  <c:v>146.42566144368959</c:v>
                </c:pt>
                <c:pt idx="43">
                  <c:v>146.42566144368959</c:v>
                </c:pt>
                <c:pt idx="44">
                  <c:v>113.66785175300889</c:v>
                </c:pt>
                <c:pt idx="45">
                  <c:v>122.67624941794608</c:v>
                </c:pt>
                <c:pt idx="46">
                  <c:v>125.95203038701415</c:v>
                </c:pt>
                <c:pt idx="47">
                  <c:v>88.280549242731368</c:v>
                </c:pt>
                <c:pt idx="48">
                  <c:v>113.66785175300889</c:v>
                </c:pt>
                <c:pt idx="49">
                  <c:v>97.28894690766856</c:v>
                </c:pt>
                <c:pt idx="50">
                  <c:v>96.47000166540154</c:v>
                </c:pt>
                <c:pt idx="51">
                  <c:v>97.28894690766856</c:v>
                </c:pt>
                <c:pt idx="52">
                  <c:v>86.642658758197328</c:v>
                </c:pt>
                <c:pt idx="53">
                  <c:v>117.76257796434398</c:v>
                </c:pt>
                <c:pt idx="54">
                  <c:v>86.642658758197328</c:v>
                </c:pt>
                <c:pt idx="55">
                  <c:v>98.107892149935566</c:v>
                </c:pt>
                <c:pt idx="56">
                  <c:v>98.107892149935566</c:v>
                </c:pt>
                <c:pt idx="57">
                  <c:v>117.76257796434398</c:v>
                </c:pt>
                <c:pt idx="58">
                  <c:v>98.107892149935566</c:v>
                </c:pt>
                <c:pt idx="59">
                  <c:v>88.280549242731368</c:v>
                </c:pt>
                <c:pt idx="60">
                  <c:v>98.107892149935566</c:v>
                </c:pt>
                <c:pt idx="61">
                  <c:v>88.280549242731368</c:v>
                </c:pt>
                <c:pt idx="62">
                  <c:v>88.280549242731368</c:v>
                </c:pt>
                <c:pt idx="63">
                  <c:v>98.107892149935566</c:v>
                </c:pt>
                <c:pt idx="64">
                  <c:v>86.642658758197328</c:v>
                </c:pt>
                <c:pt idx="65">
                  <c:v>87.461604000464348</c:v>
                </c:pt>
                <c:pt idx="66">
                  <c:v>117.76257796434398</c:v>
                </c:pt>
                <c:pt idx="67">
                  <c:v>98.107892149935566</c:v>
                </c:pt>
                <c:pt idx="68">
                  <c:v>87.461604000464348</c:v>
                </c:pt>
                <c:pt idx="69">
                  <c:v>86.642658758197328</c:v>
                </c:pt>
                <c:pt idx="70">
                  <c:v>88.280549242731368</c:v>
                </c:pt>
                <c:pt idx="71">
                  <c:v>117.76257796434398</c:v>
                </c:pt>
                <c:pt idx="72">
                  <c:v>96.47000166540154</c:v>
                </c:pt>
                <c:pt idx="73">
                  <c:v>78.45320633552717</c:v>
                </c:pt>
                <c:pt idx="74">
                  <c:v>77.63426109326015</c:v>
                </c:pt>
                <c:pt idx="75">
                  <c:v>78.45320633552717</c:v>
                </c:pt>
                <c:pt idx="76">
                  <c:v>88.280549242731368</c:v>
                </c:pt>
                <c:pt idx="77">
                  <c:v>88.280549242731368</c:v>
                </c:pt>
                <c:pt idx="78">
                  <c:v>78.45320633552717</c:v>
                </c:pt>
                <c:pt idx="79">
                  <c:v>86.642658758197328</c:v>
                </c:pt>
                <c:pt idx="80">
                  <c:v>88.280549242731368</c:v>
                </c:pt>
                <c:pt idx="81">
                  <c:v>96.47000166540154</c:v>
                </c:pt>
                <c:pt idx="82">
                  <c:v>98.107892149935566</c:v>
                </c:pt>
                <c:pt idx="83">
                  <c:v>98.107892149935566</c:v>
                </c:pt>
                <c:pt idx="84">
                  <c:v>98.107892149935566</c:v>
                </c:pt>
                <c:pt idx="85">
                  <c:v>88.280549242731368</c:v>
                </c:pt>
                <c:pt idx="86">
                  <c:v>98.107892149935566</c:v>
                </c:pt>
                <c:pt idx="87">
                  <c:v>73.539534881925064</c:v>
                </c:pt>
                <c:pt idx="88">
                  <c:v>98.107892149935566</c:v>
                </c:pt>
                <c:pt idx="89">
                  <c:v>98.107892149935566</c:v>
                </c:pt>
                <c:pt idx="90">
                  <c:v>87.461604000464348</c:v>
                </c:pt>
                <c:pt idx="91">
                  <c:v>117.76257796434398</c:v>
                </c:pt>
                <c:pt idx="92">
                  <c:v>78.45320633552717</c:v>
                </c:pt>
                <c:pt idx="93">
                  <c:v>77.63426109326015</c:v>
                </c:pt>
                <c:pt idx="94">
                  <c:v>78.45320633552717</c:v>
                </c:pt>
                <c:pt idx="95">
                  <c:v>87.461604000464348</c:v>
                </c:pt>
                <c:pt idx="96">
                  <c:v>98.107892149935566</c:v>
                </c:pt>
                <c:pt idx="97">
                  <c:v>78.45320633552717</c:v>
                </c:pt>
                <c:pt idx="98">
                  <c:v>86.642658758197328</c:v>
                </c:pt>
                <c:pt idx="99">
                  <c:v>77.63426109326015</c:v>
                </c:pt>
                <c:pt idx="100">
                  <c:v>77.63426109326015</c:v>
                </c:pt>
                <c:pt idx="101">
                  <c:v>87.461604000464348</c:v>
                </c:pt>
                <c:pt idx="102">
                  <c:v>78.45320633552717</c:v>
                </c:pt>
                <c:pt idx="103">
                  <c:v>78.45320633552717</c:v>
                </c:pt>
                <c:pt idx="104">
                  <c:v>73.539534881925064</c:v>
                </c:pt>
                <c:pt idx="105">
                  <c:v>88.280549242731368</c:v>
                </c:pt>
                <c:pt idx="106">
                  <c:v>88.280549242731368</c:v>
                </c:pt>
                <c:pt idx="107">
                  <c:v>77.63426109326015</c:v>
                </c:pt>
                <c:pt idx="108">
                  <c:v>88.280549242731368</c:v>
                </c:pt>
                <c:pt idx="109">
                  <c:v>86.642658758197328</c:v>
                </c:pt>
                <c:pt idx="110">
                  <c:v>77.63426109326015</c:v>
                </c:pt>
                <c:pt idx="111">
                  <c:v>78.45320633552717</c:v>
                </c:pt>
                <c:pt idx="112">
                  <c:v>78.45320633552717</c:v>
                </c:pt>
                <c:pt idx="113">
                  <c:v>71.901644397391024</c:v>
                </c:pt>
                <c:pt idx="114">
                  <c:v>78.45320633552717</c:v>
                </c:pt>
                <c:pt idx="115">
                  <c:v>86.642658758197328</c:v>
                </c:pt>
                <c:pt idx="116">
                  <c:v>77.63426109326015</c:v>
                </c:pt>
                <c:pt idx="117">
                  <c:v>86.642658758197328</c:v>
                </c:pt>
                <c:pt idx="118">
                  <c:v>72.720589639658044</c:v>
                </c:pt>
                <c:pt idx="119">
                  <c:v>77.63426109326015</c:v>
                </c:pt>
                <c:pt idx="120">
                  <c:v>77.63426109326015</c:v>
                </c:pt>
                <c:pt idx="121">
                  <c:v>73.539534881925064</c:v>
                </c:pt>
                <c:pt idx="122">
                  <c:v>73.539534881925064</c:v>
                </c:pt>
                <c:pt idx="123">
                  <c:v>78.45320633552717</c:v>
                </c:pt>
                <c:pt idx="124">
                  <c:v>73.539534881925064</c:v>
                </c:pt>
                <c:pt idx="125">
                  <c:v>86.642658758197328</c:v>
                </c:pt>
                <c:pt idx="126">
                  <c:v>82.547932546862242</c:v>
                </c:pt>
                <c:pt idx="127">
                  <c:v>86.642658758197328</c:v>
                </c:pt>
                <c:pt idx="128">
                  <c:v>98.107892149935566</c:v>
                </c:pt>
                <c:pt idx="129">
                  <c:v>78.45320633552717</c:v>
                </c:pt>
                <c:pt idx="130">
                  <c:v>73.539534881925064</c:v>
                </c:pt>
                <c:pt idx="131">
                  <c:v>73.539534881925064</c:v>
                </c:pt>
                <c:pt idx="132">
                  <c:v>77.63426109326015</c:v>
                </c:pt>
                <c:pt idx="133">
                  <c:v>72.720589639658044</c:v>
                </c:pt>
                <c:pt idx="134">
                  <c:v>72.720589639658044</c:v>
                </c:pt>
                <c:pt idx="135">
                  <c:v>71.901644397391024</c:v>
                </c:pt>
                <c:pt idx="136">
                  <c:v>71.901644397391024</c:v>
                </c:pt>
                <c:pt idx="137">
                  <c:v>73.539534881925064</c:v>
                </c:pt>
                <c:pt idx="138">
                  <c:v>77.63426109326015</c:v>
                </c:pt>
                <c:pt idx="139">
                  <c:v>71.901644397391024</c:v>
                </c:pt>
                <c:pt idx="140">
                  <c:v>73.539534881925064</c:v>
                </c:pt>
                <c:pt idx="141">
                  <c:v>73.539534881925064</c:v>
                </c:pt>
                <c:pt idx="142">
                  <c:v>73.539534881925064</c:v>
                </c:pt>
                <c:pt idx="143">
                  <c:v>71.901644397391024</c:v>
                </c:pt>
                <c:pt idx="144">
                  <c:v>73.539534881925064</c:v>
                </c:pt>
                <c:pt idx="145">
                  <c:v>71.901644397391024</c:v>
                </c:pt>
                <c:pt idx="146">
                  <c:v>71.901644397391024</c:v>
                </c:pt>
                <c:pt idx="147">
                  <c:v>71.901644397391024</c:v>
                </c:pt>
                <c:pt idx="148">
                  <c:v>73.539534881925064</c:v>
                </c:pt>
                <c:pt idx="149">
                  <c:v>72.720589639658044</c:v>
                </c:pt>
                <c:pt idx="150">
                  <c:v>71.901644397391024</c:v>
                </c:pt>
                <c:pt idx="151">
                  <c:v>71.901644397391024</c:v>
                </c:pt>
                <c:pt idx="152">
                  <c:v>77.63426109326015</c:v>
                </c:pt>
                <c:pt idx="153">
                  <c:v>62.893246732453846</c:v>
                </c:pt>
                <c:pt idx="154">
                  <c:v>73.539534881925064</c:v>
                </c:pt>
                <c:pt idx="155">
                  <c:v>73.539534881925064</c:v>
                </c:pt>
                <c:pt idx="156">
                  <c:v>72.720589639658044</c:v>
                </c:pt>
                <c:pt idx="157">
                  <c:v>48.152232371647536</c:v>
                </c:pt>
                <c:pt idx="158">
                  <c:v>77.63426109326015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21-4290-847C-4E431172E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3581344"/>
        <c:axId val="-1253579168"/>
      </c:scatterChart>
      <c:valAx>
        <c:axId val="-125358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253579168"/>
        <c:crosses val="autoZero"/>
        <c:crossBetween val="midCat"/>
      </c:valAx>
      <c:valAx>
        <c:axId val="-1253579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253581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нормального распределения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'Регрессионная модель'!$F$25:$F$183</c:f>
              <c:numCache>
                <c:formatCode>General</c:formatCode>
                <c:ptCount val="159"/>
                <c:pt idx="0">
                  <c:v>0.31446540880503143</c:v>
                </c:pt>
                <c:pt idx="1">
                  <c:v>0.94339622641509435</c:v>
                </c:pt>
                <c:pt idx="2">
                  <c:v>1.5723270440251571</c:v>
                </c:pt>
                <c:pt idx="3">
                  <c:v>2.2012578616352201</c:v>
                </c:pt>
                <c:pt idx="4">
                  <c:v>2.8301886792452828</c:v>
                </c:pt>
                <c:pt idx="5">
                  <c:v>3.4591194968553456</c:v>
                </c:pt>
                <c:pt idx="6">
                  <c:v>4.0880503144654092</c:v>
                </c:pt>
                <c:pt idx="7">
                  <c:v>4.716981132075472</c:v>
                </c:pt>
                <c:pt idx="8">
                  <c:v>5.3459119496855347</c:v>
                </c:pt>
                <c:pt idx="9">
                  <c:v>5.9748427672955975</c:v>
                </c:pt>
                <c:pt idx="10">
                  <c:v>6.6037735849056602</c:v>
                </c:pt>
                <c:pt idx="11">
                  <c:v>7.232704402515723</c:v>
                </c:pt>
                <c:pt idx="12">
                  <c:v>7.8616352201257866</c:v>
                </c:pt>
                <c:pt idx="13">
                  <c:v>8.4905660377358476</c:v>
                </c:pt>
                <c:pt idx="14">
                  <c:v>9.1194968553459113</c:v>
                </c:pt>
                <c:pt idx="15">
                  <c:v>9.7484276729559731</c:v>
                </c:pt>
                <c:pt idx="16">
                  <c:v>10.377358490566037</c:v>
                </c:pt>
                <c:pt idx="17">
                  <c:v>11.0062893081761</c:v>
                </c:pt>
                <c:pt idx="18">
                  <c:v>11.635220125786162</c:v>
                </c:pt>
                <c:pt idx="19">
                  <c:v>12.264150943396226</c:v>
                </c:pt>
                <c:pt idx="20">
                  <c:v>12.893081761006288</c:v>
                </c:pt>
                <c:pt idx="21">
                  <c:v>13.522012578616351</c:v>
                </c:pt>
                <c:pt idx="22">
                  <c:v>14.150943396226413</c:v>
                </c:pt>
                <c:pt idx="23">
                  <c:v>14.779874213836477</c:v>
                </c:pt>
                <c:pt idx="24">
                  <c:v>15.408805031446541</c:v>
                </c:pt>
                <c:pt idx="25">
                  <c:v>16.037735849056602</c:v>
                </c:pt>
                <c:pt idx="26">
                  <c:v>16.666666666666664</c:v>
                </c:pt>
                <c:pt idx="27">
                  <c:v>17.29559748427673</c:v>
                </c:pt>
                <c:pt idx="28">
                  <c:v>17.924528301886792</c:v>
                </c:pt>
                <c:pt idx="29">
                  <c:v>18.553459119496853</c:v>
                </c:pt>
                <c:pt idx="30">
                  <c:v>19.182389937106915</c:v>
                </c:pt>
                <c:pt idx="31">
                  <c:v>19.811320754716981</c:v>
                </c:pt>
                <c:pt idx="32">
                  <c:v>20.440251572327043</c:v>
                </c:pt>
                <c:pt idx="33">
                  <c:v>21.069182389937104</c:v>
                </c:pt>
                <c:pt idx="34">
                  <c:v>21.69811320754717</c:v>
                </c:pt>
                <c:pt idx="35">
                  <c:v>22.327044025157232</c:v>
                </c:pt>
                <c:pt idx="36">
                  <c:v>22.955974842767294</c:v>
                </c:pt>
                <c:pt idx="37">
                  <c:v>23.584905660377355</c:v>
                </c:pt>
                <c:pt idx="38">
                  <c:v>24.213836477987421</c:v>
                </c:pt>
                <c:pt idx="39">
                  <c:v>24.842767295597483</c:v>
                </c:pt>
                <c:pt idx="40">
                  <c:v>25.471698113207545</c:v>
                </c:pt>
                <c:pt idx="41">
                  <c:v>26.10062893081761</c:v>
                </c:pt>
                <c:pt idx="42">
                  <c:v>26.729559748427672</c:v>
                </c:pt>
                <c:pt idx="43">
                  <c:v>27.358490566037734</c:v>
                </c:pt>
                <c:pt idx="44">
                  <c:v>27.987421383647796</c:v>
                </c:pt>
                <c:pt idx="45">
                  <c:v>28.616352201257861</c:v>
                </c:pt>
                <c:pt idx="46">
                  <c:v>29.245283018867923</c:v>
                </c:pt>
                <c:pt idx="47">
                  <c:v>29.874213836477985</c:v>
                </c:pt>
                <c:pt idx="48">
                  <c:v>30.50314465408805</c:v>
                </c:pt>
                <c:pt idx="49">
                  <c:v>31.132075471698112</c:v>
                </c:pt>
                <c:pt idx="50">
                  <c:v>31.761006289308174</c:v>
                </c:pt>
                <c:pt idx="51">
                  <c:v>32.389937106918239</c:v>
                </c:pt>
                <c:pt idx="52">
                  <c:v>33.018867924528301</c:v>
                </c:pt>
                <c:pt idx="53">
                  <c:v>33.647798742138363</c:v>
                </c:pt>
                <c:pt idx="54">
                  <c:v>34.276729559748432</c:v>
                </c:pt>
                <c:pt idx="55">
                  <c:v>34.905660377358494</c:v>
                </c:pt>
                <c:pt idx="56">
                  <c:v>35.534591194968556</c:v>
                </c:pt>
                <c:pt idx="57">
                  <c:v>36.163522012578618</c:v>
                </c:pt>
                <c:pt idx="58">
                  <c:v>36.79245283018868</c:v>
                </c:pt>
                <c:pt idx="59">
                  <c:v>37.421383647798741</c:v>
                </c:pt>
                <c:pt idx="60">
                  <c:v>38.050314465408803</c:v>
                </c:pt>
                <c:pt idx="61">
                  <c:v>38.679245283018872</c:v>
                </c:pt>
                <c:pt idx="62">
                  <c:v>39.308176100628934</c:v>
                </c:pt>
                <c:pt idx="63">
                  <c:v>39.937106918238996</c:v>
                </c:pt>
                <c:pt idx="64">
                  <c:v>40.566037735849058</c:v>
                </c:pt>
                <c:pt idx="65">
                  <c:v>41.19496855345912</c:v>
                </c:pt>
                <c:pt idx="66">
                  <c:v>41.823899371069182</c:v>
                </c:pt>
                <c:pt idx="67">
                  <c:v>42.452830188679243</c:v>
                </c:pt>
                <c:pt idx="68">
                  <c:v>43.081761006289312</c:v>
                </c:pt>
                <c:pt idx="69">
                  <c:v>43.710691823899374</c:v>
                </c:pt>
                <c:pt idx="70">
                  <c:v>44.339622641509436</c:v>
                </c:pt>
                <c:pt idx="71">
                  <c:v>44.968553459119498</c:v>
                </c:pt>
                <c:pt idx="72">
                  <c:v>45.59748427672956</c:v>
                </c:pt>
                <c:pt idx="73">
                  <c:v>46.226415094339622</c:v>
                </c:pt>
                <c:pt idx="74">
                  <c:v>46.855345911949684</c:v>
                </c:pt>
                <c:pt idx="75">
                  <c:v>47.484276729559753</c:v>
                </c:pt>
                <c:pt idx="76">
                  <c:v>48.113207547169814</c:v>
                </c:pt>
                <c:pt idx="77">
                  <c:v>48.742138364779876</c:v>
                </c:pt>
                <c:pt idx="78">
                  <c:v>49.371069182389938</c:v>
                </c:pt>
                <c:pt idx="79">
                  <c:v>50</c:v>
                </c:pt>
                <c:pt idx="80">
                  <c:v>50.628930817610062</c:v>
                </c:pt>
                <c:pt idx="81">
                  <c:v>51.257861635220124</c:v>
                </c:pt>
                <c:pt idx="82">
                  <c:v>51.886792452830193</c:v>
                </c:pt>
                <c:pt idx="83">
                  <c:v>52.515723270440255</c:v>
                </c:pt>
                <c:pt idx="84">
                  <c:v>53.144654088050316</c:v>
                </c:pt>
                <c:pt idx="85">
                  <c:v>53.773584905660378</c:v>
                </c:pt>
                <c:pt idx="86">
                  <c:v>54.40251572327044</c:v>
                </c:pt>
                <c:pt idx="87">
                  <c:v>55.031446540880502</c:v>
                </c:pt>
                <c:pt idx="88">
                  <c:v>55.660377358490564</c:v>
                </c:pt>
                <c:pt idx="89">
                  <c:v>56.289308176100633</c:v>
                </c:pt>
                <c:pt idx="90">
                  <c:v>56.918238993710695</c:v>
                </c:pt>
                <c:pt idx="91">
                  <c:v>57.547169811320757</c:v>
                </c:pt>
                <c:pt idx="92">
                  <c:v>58.176100628930818</c:v>
                </c:pt>
                <c:pt idx="93">
                  <c:v>58.80503144654088</c:v>
                </c:pt>
                <c:pt idx="94">
                  <c:v>59.433962264150942</c:v>
                </c:pt>
                <c:pt idx="95">
                  <c:v>60.062893081761004</c:v>
                </c:pt>
                <c:pt idx="96">
                  <c:v>60.691823899371073</c:v>
                </c:pt>
                <c:pt idx="97">
                  <c:v>61.320754716981135</c:v>
                </c:pt>
                <c:pt idx="98">
                  <c:v>61.949685534591197</c:v>
                </c:pt>
                <c:pt idx="99">
                  <c:v>62.578616352201259</c:v>
                </c:pt>
                <c:pt idx="100">
                  <c:v>63.20754716981132</c:v>
                </c:pt>
                <c:pt idx="101">
                  <c:v>63.836477987421382</c:v>
                </c:pt>
                <c:pt idx="102">
                  <c:v>64.465408805031444</c:v>
                </c:pt>
                <c:pt idx="103">
                  <c:v>65.094339622641513</c:v>
                </c:pt>
                <c:pt idx="104">
                  <c:v>65.723270440251568</c:v>
                </c:pt>
                <c:pt idx="105">
                  <c:v>66.352201257861637</c:v>
                </c:pt>
                <c:pt idx="106">
                  <c:v>66.981132075471692</c:v>
                </c:pt>
                <c:pt idx="107">
                  <c:v>67.610062893081761</c:v>
                </c:pt>
                <c:pt idx="108">
                  <c:v>68.23899371069183</c:v>
                </c:pt>
                <c:pt idx="109">
                  <c:v>68.867924528301884</c:v>
                </c:pt>
                <c:pt idx="110">
                  <c:v>69.496855345911953</c:v>
                </c:pt>
                <c:pt idx="111">
                  <c:v>70.125786163522008</c:v>
                </c:pt>
                <c:pt idx="112">
                  <c:v>70.754716981132077</c:v>
                </c:pt>
                <c:pt idx="113">
                  <c:v>71.383647798742132</c:v>
                </c:pt>
                <c:pt idx="114">
                  <c:v>72.012578616352201</c:v>
                </c:pt>
                <c:pt idx="115">
                  <c:v>72.64150943396227</c:v>
                </c:pt>
                <c:pt idx="116">
                  <c:v>73.270440251572325</c:v>
                </c:pt>
                <c:pt idx="117">
                  <c:v>73.899371069182394</c:v>
                </c:pt>
                <c:pt idx="118">
                  <c:v>74.528301886792448</c:v>
                </c:pt>
                <c:pt idx="119">
                  <c:v>75.157232704402517</c:v>
                </c:pt>
                <c:pt idx="120">
                  <c:v>75.786163522012572</c:v>
                </c:pt>
                <c:pt idx="121">
                  <c:v>76.415094339622641</c:v>
                </c:pt>
                <c:pt idx="122">
                  <c:v>77.04402515723271</c:v>
                </c:pt>
                <c:pt idx="123">
                  <c:v>77.672955974842765</c:v>
                </c:pt>
                <c:pt idx="124">
                  <c:v>78.301886792452834</c:v>
                </c:pt>
                <c:pt idx="125">
                  <c:v>78.930817610062888</c:v>
                </c:pt>
                <c:pt idx="126">
                  <c:v>79.559748427672957</c:v>
                </c:pt>
                <c:pt idx="127">
                  <c:v>80.188679245283012</c:v>
                </c:pt>
                <c:pt idx="128">
                  <c:v>80.817610062893081</c:v>
                </c:pt>
                <c:pt idx="129">
                  <c:v>81.44654088050315</c:v>
                </c:pt>
                <c:pt idx="130">
                  <c:v>82.075471698113205</c:v>
                </c:pt>
                <c:pt idx="131">
                  <c:v>82.704402515723274</c:v>
                </c:pt>
                <c:pt idx="132">
                  <c:v>83.333333333333329</c:v>
                </c:pt>
                <c:pt idx="133">
                  <c:v>83.962264150943398</c:v>
                </c:pt>
                <c:pt idx="134">
                  <c:v>84.591194968553452</c:v>
                </c:pt>
                <c:pt idx="135">
                  <c:v>85.220125786163521</c:v>
                </c:pt>
                <c:pt idx="136">
                  <c:v>85.84905660377359</c:v>
                </c:pt>
                <c:pt idx="137">
                  <c:v>86.477987421383645</c:v>
                </c:pt>
                <c:pt idx="138">
                  <c:v>87.106918238993714</c:v>
                </c:pt>
                <c:pt idx="139">
                  <c:v>87.735849056603769</c:v>
                </c:pt>
                <c:pt idx="140">
                  <c:v>88.364779874213838</c:v>
                </c:pt>
                <c:pt idx="141">
                  <c:v>88.993710691823892</c:v>
                </c:pt>
                <c:pt idx="142">
                  <c:v>89.622641509433961</c:v>
                </c:pt>
                <c:pt idx="143">
                  <c:v>90.25157232704403</c:v>
                </c:pt>
                <c:pt idx="144">
                  <c:v>90.880503144654085</c:v>
                </c:pt>
                <c:pt idx="145">
                  <c:v>91.509433962264154</c:v>
                </c:pt>
                <c:pt idx="146">
                  <c:v>92.138364779874209</c:v>
                </c:pt>
                <c:pt idx="147">
                  <c:v>92.767295597484278</c:v>
                </c:pt>
                <c:pt idx="148">
                  <c:v>93.396226415094333</c:v>
                </c:pt>
                <c:pt idx="149">
                  <c:v>94.025157232704402</c:v>
                </c:pt>
                <c:pt idx="150">
                  <c:v>94.654088050314471</c:v>
                </c:pt>
                <c:pt idx="151">
                  <c:v>95.283018867924525</c:v>
                </c:pt>
                <c:pt idx="152">
                  <c:v>95.911949685534594</c:v>
                </c:pt>
                <c:pt idx="153">
                  <c:v>96.540880503144649</c:v>
                </c:pt>
                <c:pt idx="154">
                  <c:v>97.169811320754718</c:v>
                </c:pt>
                <c:pt idx="155">
                  <c:v>97.798742138364773</c:v>
                </c:pt>
                <c:pt idx="156">
                  <c:v>98.427672955974842</c:v>
                </c:pt>
                <c:pt idx="157">
                  <c:v>99.056603773584911</c:v>
                </c:pt>
                <c:pt idx="158">
                  <c:v>99.685534591194966</c:v>
                </c:pt>
              </c:numCache>
            </c:numRef>
          </c:xVal>
          <c:yVal>
            <c:numRef>
              <c:f>'Регрессионная модель'!$G$25:$G$183</c:f>
              <c:numCache>
                <c:formatCode>General</c:formatCode>
                <c:ptCount val="159"/>
                <c:pt idx="0">
                  <c:v>48</c:v>
                </c:pt>
                <c:pt idx="1">
                  <c:v>52</c:v>
                </c:pt>
                <c:pt idx="2">
                  <c:v>52</c:v>
                </c:pt>
                <c:pt idx="3">
                  <c:v>55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90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94</c:v>
                </c:pt>
                <c:pt idx="87">
                  <c:v>94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100</c:v>
                </c:pt>
                <c:pt idx="97">
                  <c:v>100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102</c:v>
                </c:pt>
                <c:pt idx="102">
                  <c:v>102</c:v>
                </c:pt>
                <c:pt idx="103">
                  <c:v>102</c:v>
                </c:pt>
                <c:pt idx="104">
                  <c:v>102</c:v>
                </c:pt>
                <c:pt idx="105">
                  <c:v>106</c:v>
                </c:pt>
                <c:pt idx="106">
                  <c:v>110</c:v>
                </c:pt>
                <c:pt idx="107">
                  <c:v>110</c:v>
                </c:pt>
                <c:pt idx="108">
                  <c:v>110</c:v>
                </c:pt>
                <c:pt idx="109">
                  <c:v>110</c:v>
                </c:pt>
                <c:pt idx="110">
                  <c:v>110</c:v>
                </c:pt>
                <c:pt idx="111">
                  <c:v>111</c:v>
                </c:pt>
                <c:pt idx="112">
                  <c:v>111</c:v>
                </c:pt>
                <c:pt idx="113">
                  <c:v>112</c:v>
                </c:pt>
                <c:pt idx="114">
                  <c:v>112</c:v>
                </c:pt>
                <c:pt idx="115">
                  <c:v>114</c:v>
                </c:pt>
                <c:pt idx="116">
                  <c:v>114</c:v>
                </c:pt>
                <c:pt idx="117">
                  <c:v>114</c:v>
                </c:pt>
                <c:pt idx="118">
                  <c:v>114</c:v>
                </c:pt>
                <c:pt idx="119">
                  <c:v>114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116</c:v>
                </c:pt>
                <c:pt idx="124">
                  <c:v>116</c:v>
                </c:pt>
                <c:pt idx="125">
                  <c:v>116</c:v>
                </c:pt>
                <c:pt idx="126">
                  <c:v>116</c:v>
                </c:pt>
                <c:pt idx="127">
                  <c:v>116</c:v>
                </c:pt>
                <c:pt idx="128">
                  <c:v>116</c:v>
                </c:pt>
                <c:pt idx="129">
                  <c:v>116</c:v>
                </c:pt>
                <c:pt idx="130">
                  <c:v>116</c:v>
                </c:pt>
                <c:pt idx="131">
                  <c:v>120</c:v>
                </c:pt>
                <c:pt idx="132">
                  <c:v>121</c:v>
                </c:pt>
                <c:pt idx="133">
                  <c:v>121</c:v>
                </c:pt>
                <c:pt idx="134">
                  <c:v>123</c:v>
                </c:pt>
                <c:pt idx="135">
                  <c:v>123</c:v>
                </c:pt>
                <c:pt idx="136">
                  <c:v>123</c:v>
                </c:pt>
                <c:pt idx="137">
                  <c:v>123</c:v>
                </c:pt>
                <c:pt idx="138">
                  <c:v>134</c:v>
                </c:pt>
                <c:pt idx="139">
                  <c:v>140</c:v>
                </c:pt>
                <c:pt idx="140">
                  <c:v>142</c:v>
                </c:pt>
                <c:pt idx="141">
                  <c:v>143</c:v>
                </c:pt>
                <c:pt idx="142">
                  <c:v>145</c:v>
                </c:pt>
                <c:pt idx="143">
                  <c:v>152</c:v>
                </c:pt>
                <c:pt idx="144">
                  <c:v>152</c:v>
                </c:pt>
                <c:pt idx="145">
                  <c:v>152</c:v>
                </c:pt>
                <c:pt idx="146">
                  <c:v>155</c:v>
                </c:pt>
                <c:pt idx="147">
                  <c:v>156</c:v>
                </c:pt>
                <c:pt idx="148">
                  <c:v>160</c:v>
                </c:pt>
                <c:pt idx="149">
                  <c:v>160</c:v>
                </c:pt>
                <c:pt idx="150">
                  <c:v>160</c:v>
                </c:pt>
                <c:pt idx="151">
                  <c:v>160</c:v>
                </c:pt>
                <c:pt idx="152">
                  <c:v>160</c:v>
                </c:pt>
                <c:pt idx="153">
                  <c:v>161</c:v>
                </c:pt>
                <c:pt idx="154">
                  <c:v>161</c:v>
                </c:pt>
                <c:pt idx="155">
                  <c:v>162</c:v>
                </c:pt>
                <c:pt idx="156">
                  <c:v>162</c:v>
                </c:pt>
                <c:pt idx="157">
                  <c:v>176</c:v>
                </c:pt>
                <c:pt idx="158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3-47E2-959E-E58D8332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3582976"/>
        <c:axId val="-1253581888"/>
      </c:scatterChart>
      <c:valAx>
        <c:axId val="-125358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Персентиль выборки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81888"/>
        <c:crosses val="autoZero"/>
        <c:crossBetween val="midCat"/>
      </c:valAx>
      <c:valAx>
        <c:axId val="-1253581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8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'Регрессионная модель'!$A$206:$A$226</c:f>
              <c:strCache>
                <c:ptCount val="21"/>
                <c:pt idx="0">
                  <c:v>-1,942971711</c:v>
                </c:pt>
                <c:pt idx="1">
                  <c:v>-1,640677474</c:v>
                </c:pt>
                <c:pt idx="2">
                  <c:v>-1,338383237</c:v>
                </c:pt>
                <c:pt idx="3">
                  <c:v>-1,036089</c:v>
                </c:pt>
                <c:pt idx="4">
                  <c:v>-0,733794763</c:v>
                </c:pt>
                <c:pt idx="5">
                  <c:v>-0,431500526</c:v>
                </c:pt>
                <c:pt idx="6">
                  <c:v>-0,129206289</c:v>
                </c:pt>
                <c:pt idx="7">
                  <c:v>0,173087948</c:v>
                </c:pt>
                <c:pt idx="8">
                  <c:v>0,302294237</c:v>
                </c:pt>
                <c:pt idx="9">
                  <c:v>0,475382185</c:v>
                </c:pt>
                <c:pt idx="10">
                  <c:v>0,777676422</c:v>
                </c:pt>
                <c:pt idx="11">
                  <c:v>1,079970659</c:v>
                </c:pt>
                <c:pt idx="12">
                  <c:v>1,382264896</c:v>
                </c:pt>
                <c:pt idx="13">
                  <c:v>1,684559133</c:v>
                </c:pt>
                <c:pt idx="14">
                  <c:v>1,986853369</c:v>
                </c:pt>
                <c:pt idx="15">
                  <c:v>2,289147606</c:v>
                </c:pt>
                <c:pt idx="16">
                  <c:v>2,591441843</c:v>
                </c:pt>
                <c:pt idx="17">
                  <c:v>2,89373608</c:v>
                </c:pt>
                <c:pt idx="18">
                  <c:v>3,196030317</c:v>
                </c:pt>
                <c:pt idx="19">
                  <c:v>3,498324554</c:v>
                </c:pt>
                <c:pt idx="20">
                  <c:v>Еще</c:v>
                </c:pt>
              </c:strCache>
            </c:strRef>
          </c:cat>
          <c:val>
            <c:numRef>
              <c:f>'Регрессионная модель'!$B$206:$B$226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0</c:v>
                </c:pt>
                <c:pt idx="4">
                  <c:v>9</c:v>
                </c:pt>
                <c:pt idx="5">
                  <c:v>33</c:v>
                </c:pt>
                <c:pt idx="6">
                  <c:v>30</c:v>
                </c:pt>
                <c:pt idx="7">
                  <c:v>31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5</c:v>
                </c:pt>
                <c:pt idx="12">
                  <c:v>8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2-4067-9218-BF2CE5F67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3574816"/>
        <c:axId val="-1253580800"/>
      </c:barChart>
      <c:catAx>
        <c:axId val="-1253574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80800"/>
        <c:crosses val="autoZero"/>
        <c:auto val="1"/>
        <c:lblAlgn val="ctr"/>
        <c:lblOffset val="100"/>
        <c:noMultiLvlLbl val="0"/>
      </c:catAx>
      <c:valAx>
        <c:axId val="-1253580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535748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engine-size </a:t>
            </a:r>
            <a:r>
              <a:rPr lang="ru-RU"/>
              <a:t>График подбора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horsepower</c:v>
          </c:tx>
          <c:spPr>
            <a:ln w="19050">
              <a:noFill/>
            </a:ln>
          </c:spPr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'Исх. данные'!$AD$2:$AD$160</c:f>
              <c:numCache>
                <c:formatCode>0.00</c:formatCode>
                <c:ptCount val="159"/>
                <c:pt idx="0">
                  <c:v>155</c:v>
                </c:pt>
                <c:pt idx="1">
                  <c:v>176</c:v>
                </c:pt>
                <c:pt idx="2">
                  <c:v>123</c:v>
                </c:pt>
                <c:pt idx="3">
                  <c:v>123</c:v>
                </c:pt>
                <c:pt idx="4">
                  <c:v>123</c:v>
                </c:pt>
                <c:pt idx="5">
                  <c:v>123</c:v>
                </c:pt>
                <c:pt idx="6">
                  <c:v>140</c:v>
                </c:pt>
                <c:pt idx="7">
                  <c:v>114</c:v>
                </c:pt>
                <c:pt idx="8">
                  <c:v>106</c:v>
                </c:pt>
                <c:pt idx="9">
                  <c:v>143</c:v>
                </c:pt>
                <c:pt idx="10">
                  <c:v>134</c:v>
                </c:pt>
                <c:pt idx="11">
                  <c:v>121</c:v>
                </c:pt>
                <c:pt idx="12">
                  <c:v>121</c:v>
                </c:pt>
                <c:pt idx="13">
                  <c:v>200</c:v>
                </c:pt>
                <c:pt idx="14">
                  <c:v>160</c:v>
                </c:pt>
                <c:pt idx="15">
                  <c:v>162</c:v>
                </c:pt>
                <c:pt idx="16">
                  <c:v>160</c:v>
                </c:pt>
                <c:pt idx="17">
                  <c:v>162</c:v>
                </c:pt>
                <c:pt idx="18">
                  <c:v>160</c:v>
                </c:pt>
                <c:pt idx="19">
                  <c:v>120</c:v>
                </c:pt>
                <c:pt idx="20">
                  <c:v>142</c:v>
                </c:pt>
                <c:pt idx="21">
                  <c:v>160</c:v>
                </c:pt>
                <c:pt idx="22">
                  <c:v>95</c:v>
                </c:pt>
                <c:pt idx="23">
                  <c:v>110</c:v>
                </c:pt>
                <c:pt idx="24">
                  <c:v>116</c:v>
                </c:pt>
                <c:pt idx="25">
                  <c:v>115</c:v>
                </c:pt>
                <c:pt idx="26">
                  <c:v>160</c:v>
                </c:pt>
                <c:pt idx="27">
                  <c:v>101</c:v>
                </c:pt>
                <c:pt idx="28">
                  <c:v>95</c:v>
                </c:pt>
                <c:pt idx="29">
                  <c:v>114</c:v>
                </c:pt>
                <c:pt idx="30">
                  <c:v>97</c:v>
                </c:pt>
                <c:pt idx="31">
                  <c:v>161</c:v>
                </c:pt>
                <c:pt idx="32">
                  <c:v>114</c:v>
                </c:pt>
                <c:pt idx="33">
                  <c:v>101</c:v>
                </c:pt>
                <c:pt idx="34">
                  <c:v>161</c:v>
                </c:pt>
                <c:pt idx="35">
                  <c:v>114</c:v>
                </c:pt>
                <c:pt idx="36">
                  <c:v>156</c:v>
                </c:pt>
                <c:pt idx="37">
                  <c:v>95</c:v>
                </c:pt>
                <c:pt idx="38">
                  <c:v>110</c:v>
                </c:pt>
                <c:pt idx="39">
                  <c:v>110</c:v>
                </c:pt>
                <c:pt idx="40">
                  <c:v>152</c:v>
                </c:pt>
                <c:pt idx="41">
                  <c:v>102</c:v>
                </c:pt>
                <c:pt idx="42">
                  <c:v>152</c:v>
                </c:pt>
                <c:pt idx="43">
                  <c:v>152</c:v>
                </c:pt>
                <c:pt idx="44">
                  <c:v>114</c:v>
                </c:pt>
                <c:pt idx="45">
                  <c:v>95</c:v>
                </c:pt>
                <c:pt idx="46">
                  <c:v>145</c:v>
                </c:pt>
                <c:pt idx="47">
                  <c:v>101</c:v>
                </c:pt>
                <c:pt idx="48">
                  <c:v>114</c:v>
                </c:pt>
                <c:pt idx="49">
                  <c:v>110</c:v>
                </c:pt>
                <c:pt idx="50">
                  <c:v>97</c:v>
                </c:pt>
                <c:pt idx="51">
                  <c:v>110</c:v>
                </c:pt>
                <c:pt idx="52">
                  <c:v>111</c:v>
                </c:pt>
                <c:pt idx="53">
                  <c:v>116</c:v>
                </c:pt>
                <c:pt idx="54">
                  <c:v>111</c:v>
                </c:pt>
                <c:pt idx="55">
                  <c:v>92</c:v>
                </c:pt>
                <c:pt idx="56">
                  <c:v>84</c:v>
                </c:pt>
                <c:pt idx="57">
                  <c:v>116</c:v>
                </c:pt>
                <c:pt idx="58">
                  <c:v>92</c:v>
                </c:pt>
                <c:pt idx="59">
                  <c:v>73</c:v>
                </c:pt>
                <c:pt idx="60">
                  <c:v>84</c:v>
                </c:pt>
                <c:pt idx="61">
                  <c:v>100</c:v>
                </c:pt>
                <c:pt idx="62">
                  <c:v>86</c:v>
                </c:pt>
                <c:pt idx="63">
                  <c:v>84</c:v>
                </c:pt>
                <c:pt idx="64">
                  <c:v>94</c:v>
                </c:pt>
                <c:pt idx="65">
                  <c:v>100</c:v>
                </c:pt>
                <c:pt idx="66">
                  <c:v>116</c:v>
                </c:pt>
                <c:pt idx="67">
                  <c:v>92</c:v>
                </c:pt>
                <c:pt idx="68">
                  <c:v>90</c:v>
                </c:pt>
                <c:pt idx="69">
                  <c:v>94</c:v>
                </c:pt>
                <c:pt idx="70">
                  <c:v>116</c:v>
                </c:pt>
                <c:pt idx="71">
                  <c:v>116</c:v>
                </c:pt>
                <c:pt idx="72">
                  <c:v>97</c:v>
                </c:pt>
                <c:pt idx="73">
                  <c:v>112</c:v>
                </c:pt>
                <c:pt idx="74">
                  <c:v>68</c:v>
                </c:pt>
                <c:pt idx="75">
                  <c:v>112</c:v>
                </c:pt>
                <c:pt idx="76">
                  <c:v>116</c:v>
                </c:pt>
                <c:pt idx="77">
                  <c:v>116</c:v>
                </c:pt>
                <c:pt idx="78">
                  <c:v>70</c:v>
                </c:pt>
                <c:pt idx="79">
                  <c:v>82</c:v>
                </c:pt>
                <c:pt idx="80">
                  <c:v>86</c:v>
                </c:pt>
                <c:pt idx="81">
                  <c:v>97</c:v>
                </c:pt>
                <c:pt idx="82">
                  <c:v>92</c:v>
                </c:pt>
                <c:pt idx="83">
                  <c:v>88</c:v>
                </c:pt>
                <c:pt idx="84">
                  <c:v>88</c:v>
                </c:pt>
                <c:pt idx="85">
                  <c:v>86</c:v>
                </c:pt>
                <c:pt idx="86">
                  <c:v>84</c:v>
                </c:pt>
                <c:pt idx="87">
                  <c:v>62</c:v>
                </c:pt>
                <c:pt idx="88">
                  <c:v>88</c:v>
                </c:pt>
                <c:pt idx="89">
                  <c:v>84</c:v>
                </c:pt>
                <c:pt idx="90">
                  <c:v>85</c:v>
                </c:pt>
                <c:pt idx="91">
                  <c:v>116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85</c:v>
                </c:pt>
                <c:pt idx="96">
                  <c:v>88</c:v>
                </c:pt>
                <c:pt idx="97">
                  <c:v>70</c:v>
                </c:pt>
                <c:pt idx="98">
                  <c:v>82</c:v>
                </c:pt>
                <c:pt idx="99">
                  <c:v>69</c:v>
                </c:pt>
                <c:pt idx="100">
                  <c:v>52</c:v>
                </c:pt>
                <c:pt idx="101">
                  <c:v>85</c:v>
                </c:pt>
                <c:pt idx="102">
                  <c:v>102</c:v>
                </c:pt>
                <c:pt idx="103">
                  <c:v>102</c:v>
                </c:pt>
                <c:pt idx="104">
                  <c:v>62</c:v>
                </c:pt>
                <c:pt idx="105">
                  <c:v>56</c:v>
                </c:pt>
                <c:pt idx="106">
                  <c:v>86</c:v>
                </c:pt>
                <c:pt idx="107">
                  <c:v>69</c:v>
                </c:pt>
                <c:pt idx="108">
                  <c:v>56</c:v>
                </c:pt>
                <c:pt idx="109">
                  <c:v>82</c:v>
                </c:pt>
                <c:pt idx="110">
                  <c:v>52</c:v>
                </c:pt>
                <c:pt idx="111">
                  <c:v>70</c:v>
                </c:pt>
                <c:pt idx="112">
                  <c:v>102</c:v>
                </c:pt>
                <c:pt idx="113">
                  <c:v>68</c:v>
                </c:pt>
                <c:pt idx="114">
                  <c:v>68</c:v>
                </c:pt>
                <c:pt idx="115">
                  <c:v>73</c:v>
                </c:pt>
                <c:pt idx="116">
                  <c:v>69</c:v>
                </c:pt>
                <c:pt idx="117">
                  <c:v>82</c:v>
                </c:pt>
                <c:pt idx="118">
                  <c:v>68</c:v>
                </c:pt>
                <c:pt idx="119">
                  <c:v>69</c:v>
                </c:pt>
                <c:pt idx="120">
                  <c:v>69</c:v>
                </c:pt>
                <c:pt idx="121">
                  <c:v>76</c:v>
                </c:pt>
                <c:pt idx="122">
                  <c:v>76</c:v>
                </c:pt>
                <c:pt idx="123">
                  <c:v>70</c:v>
                </c:pt>
                <c:pt idx="124">
                  <c:v>76</c:v>
                </c:pt>
                <c:pt idx="125">
                  <c:v>82</c:v>
                </c:pt>
                <c:pt idx="126">
                  <c:v>55</c:v>
                </c:pt>
                <c:pt idx="127">
                  <c:v>73</c:v>
                </c:pt>
                <c:pt idx="128">
                  <c:v>88</c:v>
                </c:pt>
                <c:pt idx="129">
                  <c:v>70</c:v>
                </c:pt>
                <c:pt idx="130">
                  <c:v>62</c:v>
                </c:pt>
                <c:pt idx="131">
                  <c:v>76</c:v>
                </c:pt>
                <c:pt idx="132">
                  <c:v>69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76</c:v>
                </c:pt>
                <c:pt idx="141">
                  <c:v>62</c:v>
                </c:pt>
                <c:pt idx="142">
                  <c:v>58</c:v>
                </c:pt>
                <c:pt idx="143">
                  <c:v>68</c:v>
                </c:pt>
                <c:pt idx="144">
                  <c:v>62</c:v>
                </c:pt>
                <c:pt idx="145">
                  <c:v>70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60</c:v>
                </c:pt>
                <c:pt idx="154">
                  <c:v>68</c:v>
                </c:pt>
                <c:pt idx="155">
                  <c:v>62</c:v>
                </c:pt>
                <c:pt idx="156">
                  <c:v>68</c:v>
                </c:pt>
                <c:pt idx="157">
                  <c:v>48</c:v>
                </c:pt>
                <c:pt idx="158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7-4CB6-870B-751F5669FB0E}"/>
            </c:ext>
          </c:extLst>
        </c:ser>
        <c:ser>
          <c:idx val="1"/>
          <c:order val="1"/>
          <c:tx>
            <c:v>Предсказанное horsepower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'Исх. данные'!$AC$2:$AC$160</c:f>
              <c:numCache>
                <c:formatCode>0.00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модель'!$B$25:$B$183</c:f>
              <c:numCache>
                <c:formatCode>General</c:formatCode>
                <c:ptCount val="159"/>
                <c:pt idx="0">
                  <c:v>189.82975928384144</c:v>
                </c:pt>
                <c:pt idx="1">
                  <c:v>209.48444509824986</c:v>
                </c:pt>
                <c:pt idx="2">
                  <c:v>148.0635519282236</c:v>
                </c:pt>
                <c:pt idx="3">
                  <c:v>148.0635519282236</c:v>
                </c:pt>
                <c:pt idx="4">
                  <c:v>148.0635519282236</c:v>
                </c:pt>
                <c:pt idx="5">
                  <c:v>148.0635519282236</c:v>
                </c:pt>
                <c:pt idx="6">
                  <c:v>105.47839933033872</c:v>
                </c:pt>
                <c:pt idx="7">
                  <c:v>113.66785175300889</c:v>
                </c:pt>
                <c:pt idx="8">
                  <c:v>116.94363272207696</c:v>
                </c:pt>
                <c:pt idx="9">
                  <c:v>121.85730417567906</c:v>
                </c:pt>
                <c:pt idx="10">
                  <c:v>139.87409950555343</c:v>
                </c:pt>
                <c:pt idx="11">
                  <c:v>132.50359232515029</c:v>
                </c:pt>
                <c:pt idx="12">
                  <c:v>132.50359232515029</c:v>
                </c:pt>
                <c:pt idx="13">
                  <c:v>146.42566144368959</c:v>
                </c:pt>
                <c:pt idx="14">
                  <c:v>113.66785175300889</c:v>
                </c:pt>
                <c:pt idx="15">
                  <c:v>104.65945408807171</c:v>
                </c:pt>
                <c:pt idx="16">
                  <c:v>97.28894690766856</c:v>
                </c:pt>
                <c:pt idx="17">
                  <c:v>104.65945408807171</c:v>
                </c:pt>
                <c:pt idx="18">
                  <c:v>146.42566144368959</c:v>
                </c:pt>
                <c:pt idx="19">
                  <c:v>112.84890651074187</c:v>
                </c:pt>
                <c:pt idx="20">
                  <c:v>107.93523505713978</c:v>
                </c:pt>
                <c:pt idx="21">
                  <c:v>97.28894690766856</c:v>
                </c:pt>
                <c:pt idx="22">
                  <c:v>122.67624941794608</c:v>
                </c:pt>
                <c:pt idx="23">
                  <c:v>109.5731255416738</c:v>
                </c:pt>
                <c:pt idx="24">
                  <c:v>117.76257796434398</c:v>
                </c:pt>
                <c:pt idx="25">
                  <c:v>109.5731255416738</c:v>
                </c:pt>
                <c:pt idx="26">
                  <c:v>146.42566144368959</c:v>
                </c:pt>
                <c:pt idx="27">
                  <c:v>86.642658758197328</c:v>
                </c:pt>
                <c:pt idx="28">
                  <c:v>122.67624941794608</c:v>
                </c:pt>
                <c:pt idx="29">
                  <c:v>113.66785175300889</c:v>
                </c:pt>
                <c:pt idx="30">
                  <c:v>96.47000166540154</c:v>
                </c:pt>
                <c:pt idx="31">
                  <c:v>138.23620902101942</c:v>
                </c:pt>
                <c:pt idx="32">
                  <c:v>113.66785175300889</c:v>
                </c:pt>
                <c:pt idx="33">
                  <c:v>86.642658758197328</c:v>
                </c:pt>
                <c:pt idx="34">
                  <c:v>138.23620902101942</c:v>
                </c:pt>
                <c:pt idx="35">
                  <c:v>113.66785175300889</c:v>
                </c:pt>
                <c:pt idx="36">
                  <c:v>138.23620902101942</c:v>
                </c:pt>
                <c:pt idx="37">
                  <c:v>96.47000166540154</c:v>
                </c:pt>
                <c:pt idx="38">
                  <c:v>97.28894690766856</c:v>
                </c:pt>
                <c:pt idx="39">
                  <c:v>97.28894690766856</c:v>
                </c:pt>
                <c:pt idx="40">
                  <c:v>146.42566144368959</c:v>
                </c:pt>
                <c:pt idx="41">
                  <c:v>87.461604000464348</c:v>
                </c:pt>
                <c:pt idx="42">
                  <c:v>146.42566144368959</c:v>
                </c:pt>
                <c:pt idx="43">
                  <c:v>146.42566144368959</c:v>
                </c:pt>
                <c:pt idx="44">
                  <c:v>113.66785175300889</c:v>
                </c:pt>
                <c:pt idx="45">
                  <c:v>122.67624941794608</c:v>
                </c:pt>
                <c:pt idx="46">
                  <c:v>125.95203038701415</c:v>
                </c:pt>
                <c:pt idx="47">
                  <c:v>88.280549242731368</c:v>
                </c:pt>
                <c:pt idx="48">
                  <c:v>113.66785175300889</c:v>
                </c:pt>
                <c:pt idx="49">
                  <c:v>97.28894690766856</c:v>
                </c:pt>
                <c:pt idx="50">
                  <c:v>96.47000166540154</c:v>
                </c:pt>
                <c:pt idx="51">
                  <c:v>97.28894690766856</c:v>
                </c:pt>
                <c:pt idx="52">
                  <c:v>86.642658758197328</c:v>
                </c:pt>
                <c:pt idx="53">
                  <c:v>117.76257796434398</c:v>
                </c:pt>
                <c:pt idx="54">
                  <c:v>86.642658758197328</c:v>
                </c:pt>
                <c:pt idx="55">
                  <c:v>98.107892149935566</c:v>
                </c:pt>
                <c:pt idx="56">
                  <c:v>98.107892149935566</c:v>
                </c:pt>
                <c:pt idx="57">
                  <c:v>117.76257796434398</c:v>
                </c:pt>
                <c:pt idx="58">
                  <c:v>98.107892149935566</c:v>
                </c:pt>
                <c:pt idx="59">
                  <c:v>88.280549242731368</c:v>
                </c:pt>
                <c:pt idx="60">
                  <c:v>98.107892149935566</c:v>
                </c:pt>
                <c:pt idx="61">
                  <c:v>88.280549242731368</c:v>
                </c:pt>
                <c:pt idx="62">
                  <c:v>88.280549242731368</c:v>
                </c:pt>
                <c:pt idx="63">
                  <c:v>98.107892149935566</c:v>
                </c:pt>
                <c:pt idx="64">
                  <c:v>86.642658758197328</c:v>
                </c:pt>
                <c:pt idx="65">
                  <c:v>87.461604000464348</c:v>
                </c:pt>
                <c:pt idx="66">
                  <c:v>117.76257796434398</c:v>
                </c:pt>
                <c:pt idx="67">
                  <c:v>98.107892149935566</c:v>
                </c:pt>
                <c:pt idx="68">
                  <c:v>87.461604000464348</c:v>
                </c:pt>
                <c:pt idx="69">
                  <c:v>86.642658758197328</c:v>
                </c:pt>
                <c:pt idx="70">
                  <c:v>88.280549242731368</c:v>
                </c:pt>
                <c:pt idx="71">
                  <c:v>117.76257796434398</c:v>
                </c:pt>
                <c:pt idx="72">
                  <c:v>96.47000166540154</c:v>
                </c:pt>
                <c:pt idx="73">
                  <c:v>78.45320633552717</c:v>
                </c:pt>
                <c:pt idx="74">
                  <c:v>77.63426109326015</c:v>
                </c:pt>
                <c:pt idx="75">
                  <c:v>78.45320633552717</c:v>
                </c:pt>
                <c:pt idx="76">
                  <c:v>88.280549242731368</c:v>
                </c:pt>
                <c:pt idx="77">
                  <c:v>88.280549242731368</c:v>
                </c:pt>
                <c:pt idx="78">
                  <c:v>78.45320633552717</c:v>
                </c:pt>
                <c:pt idx="79">
                  <c:v>86.642658758197328</c:v>
                </c:pt>
                <c:pt idx="80">
                  <c:v>88.280549242731368</c:v>
                </c:pt>
                <c:pt idx="81">
                  <c:v>96.47000166540154</c:v>
                </c:pt>
                <c:pt idx="82">
                  <c:v>98.107892149935566</c:v>
                </c:pt>
                <c:pt idx="83">
                  <c:v>98.107892149935566</c:v>
                </c:pt>
                <c:pt idx="84">
                  <c:v>98.107892149935566</c:v>
                </c:pt>
                <c:pt idx="85">
                  <c:v>88.280549242731368</c:v>
                </c:pt>
                <c:pt idx="86">
                  <c:v>98.107892149935566</c:v>
                </c:pt>
                <c:pt idx="87">
                  <c:v>73.539534881925064</c:v>
                </c:pt>
                <c:pt idx="88">
                  <c:v>98.107892149935566</c:v>
                </c:pt>
                <c:pt idx="89">
                  <c:v>98.107892149935566</c:v>
                </c:pt>
                <c:pt idx="90">
                  <c:v>87.461604000464348</c:v>
                </c:pt>
                <c:pt idx="91">
                  <c:v>117.76257796434398</c:v>
                </c:pt>
                <c:pt idx="92">
                  <c:v>78.45320633552717</c:v>
                </c:pt>
                <c:pt idx="93">
                  <c:v>77.63426109326015</c:v>
                </c:pt>
                <c:pt idx="94">
                  <c:v>78.45320633552717</c:v>
                </c:pt>
                <c:pt idx="95">
                  <c:v>87.461604000464348</c:v>
                </c:pt>
                <c:pt idx="96">
                  <c:v>98.107892149935566</c:v>
                </c:pt>
                <c:pt idx="97">
                  <c:v>78.45320633552717</c:v>
                </c:pt>
                <c:pt idx="98">
                  <c:v>86.642658758197328</c:v>
                </c:pt>
                <c:pt idx="99">
                  <c:v>77.63426109326015</c:v>
                </c:pt>
                <c:pt idx="100">
                  <c:v>77.63426109326015</c:v>
                </c:pt>
                <c:pt idx="101">
                  <c:v>87.461604000464348</c:v>
                </c:pt>
                <c:pt idx="102">
                  <c:v>78.45320633552717</c:v>
                </c:pt>
                <c:pt idx="103">
                  <c:v>78.45320633552717</c:v>
                </c:pt>
                <c:pt idx="104">
                  <c:v>73.539534881925064</c:v>
                </c:pt>
                <c:pt idx="105">
                  <c:v>88.280549242731368</c:v>
                </c:pt>
                <c:pt idx="106">
                  <c:v>88.280549242731368</c:v>
                </c:pt>
                <c:pt idx="107">
                  <c:v>77.63426109326015</c:v>
                </c:pt>
                <c:pt idx="108">
                  <c:v>88.280549242731368</c:v>
                </c:pt>
                <c:pt idx="109">
                  <c:v>86.642658758197328</c:v>
                </c:pt>
                <c:pt idx="110">
                  <c:v>77.63426109326015</c:v>
                </c:pt>
                <c:pt idx="111">
                  <c:v>78.45320633552717</c:v>
                </c:pt>
                <c:pt idx="112">
                  <c:v>78.45320633552717</c:v>
                </c:pt>
                <c:pt idx="113">
                  <c:v>71.901644397391024</c:v>
                </c:pt>
                <c:pt idx="114">
                  <c:v>78.45320633552717</c:v>
                </c:pt>
                <c:pt idx="115">
                  <c:v>86.642658758197328</c:v>
                </c:pt>
                <c:pt idx="116">
                  <c:v>77.63426109326015</c:v>
                </c:pt>
                <c:pt idx="117">
                  <c:v>86.642658758197328</c:v>
                </c:pt>
                <c:pt idx="118">
                  <c:v>72.720589639658044</c:v>
                </c:pt>
                <c:pt idx="119">
                  <c:v>77.63426109326015</c:v>
                </c:pt>
                <c:pt idx="120">
                  <c:v>77.63426109326015</c:v>
                </c:pt>
                <c:pt idx="121">
                  <c:v>73.539534881925064</c:v>
                </c:pt>
                <c:pt idx="122">
                  <c:v>73.539534881925064</c:v>
                </c:pt>
                <c:pt idx="123">
                  <c:v>78.45320633552717</c:v>
                </c:pt>
                <c:pt idx="124">
                  <c:v>73.539534881925064</c:v>
                </c:pt>
                <c:pt idx="125">
                  <c:v>86.642658758197328</c:v>
                </c:pt>
                <c:pt idx="126">
                  <c:v>82.547932546862242</c:v>
                </c:pt>
                <c:pt idx="127">
                  <c:v>86.642658758197328</c:v>
                </c:pt>
                <c:pt idx="128">
                  <c:v>98.107892149935566</c:v>
                </c:pt>
                <c:pt idx="129">
                  <c:v>78.45320633552717</c:v>
                </c:pt>
                <c:pt idx="130">
                  <c:v>73.539534881925064</c:v>
                </c:pt>
                <c:pt idx="131">
                  <c:v>73.539534881925064</c:v>
                </c:pt>
                <c:pt idx="132">
                  <c:v>77.63426109326015</c:v>
                </c:pt>
                <c:pt idx="133">
                  <c:v>72.720589639658044</c:v>
                </c:pt>
                <c:pt idx="134">
                  <c:v>72.720589639658044</c:v>
                </c:pt>
                <c:pt idx="135">
                  <c:v>71.901644397391024</c:v>
                </c:pt>
                <c:pt idx="136">
                  <c:v>71.901644397391024</c:v>
                </c:pt>
                <c:pt idx="137">
                  <c:v>73.539534881925064</c:v>
                </c:pt>
                <c:pt idx="138">
                  <c:v>77.63426109326015</c:v>
                </c:pt>
                <c:pt idx="139">
                  <c:v>71.901644397391024</c:v>
                </c:pt>
                <c:pt idx="140">
                  <c:v>73.539534881925064</c:v>
                </c:pt>
                <c:pt idx="141">
                  <c:v>73.539534881925064</c:v>
                </c:pt>
                <c:pt idx="142">
                  <c:v>73.539534881925064</c:v>
                </c:pt>
                <c:pt idx="143">
                  <c:v>71.901644397391024</c:v>
                </c:pt>
                <c:pt idx="144">
                  <c:v>73.539534881925064</c:v>
                </c:pt>
                <c:pt idx="145">
                  <c:v>71.901644397391024</c:v>
                </c:pt>
                <c:pt idx="146">
                  <c:v>71.901644397391024</c:v>
                </c:pt>
                <c:pt idx="147">
                  <c:v>71.901644397391024</c:v>
                </c:pt>
                <c:pt idx="148">
                  <c:v>73.539534881925064</c:v>
                </c:pt>
                <c:pt idx="149">
                  <c:v>72.720589639658044</c:v>
                </c:pt>
                <c:pt idx="150">
                  <c:v>71.901644397391024</c:v>
                </c:pt>
                <c:pt idx="151">
                  <c:v>71.901644397391024</c:v>
                </c:pt>
                <c:pt idx="152">
                  <c:v>77.63426109326015</c:v>
                </c:pt>
                <c:pt idx="153">
                  <c:v>62.893246732453846</c:v>
                </c:pt>
                <c:pt idx="154">
                  <c:v>73.539534881925064</c:v>
                </c:pt>
                <c:pt idx="155">
                  <c:v>73.539534881925064</c:v>
                </c:pt>
                <c:pt idx="156">
                  <c:v>72.720589639658044</c:v>
                </c:pt>
                <c:pt idx="157">
                  <c:v>48.152232371647536</c:v>
                </c:pt>
                <c:pt idx="158">
                  <c:v>77.63426109326015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7-4CB6-870B-751F5669F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3584064"/>
        <c:axId val="-1253572640"/>
      </c:scatterChart>
      <c:valAx>
        <c:axId val="-125358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engine-size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253572640"/>
        <c:crosses val="autoZero"/>
        <c:crossBetween val="midCat"/>
      </c:valAx>
      <c:valAx>
        <c:axId val="-1253572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horsepower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253584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b="1"/>
              <a:t>Диаграмма рассеяния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'Регрессионная модель'!$Z$43</c:f>
              <c:strCache>
                <c:ptCount val="1"/>
                <c:pt idx="0">
                  <c:v>horsepower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3.0731535969027931E-4"/>
                  <c:y val="-6.82264810076142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'Регрессионная модель'!$Y$44:$Y$202</c:f>
              <c:numCache>
                <c:formatCode>General</c:formatCode>
                <c:ptCount val="159"/>
                <c:pt idx="0">
                  <c:v>234</c:v>
                </c:pt>
                <c:pt idx="1">
                  <c:v>258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  <c:pt idx="5">
                  <c:v>183</c:v>
                </c:pt>
                <c:pt idx="6">
                  <c:v>131</c:v>
                </c:pt>
                <c:pt idx="7">
                  <c:v>141</c:v>
                </c:pt>
                <c:pt idx="8">
                  <c:v>145</c:v>
                </c:pt>
                <c:pt idx="9">
                  <c:v>151</c:v>
                </c:pt>
                <c:pt idx="10">
                  <c:v>173</c:v>
                </c:pt>
                <c:pt idx="11">
                  <c:v>164</c:v>
                </c:pt>
                <c:pt idx="12">
                  <c:v>164</c:v>
                </c:pt>
                <c:pt idx="13">
                  <c:v>181</c:v>
                </c:pt>
                <c:pt idx="14">
                  <c:v>141</c:v>
                </c:pt>
                <c:pt idx="15">
                  <c:v>130</c:v>
                </c:pt>
                <c:pt idx="16">
                  <c:v>121</c:v>
                </c:pt>
                <c:pt idx="17">
                  <c:v>130</c:v>
                </c:pt>
                <c:pt idx="18">
                  <c:v>181</c:v>
                </c:pt>
                <c:pt idx="19">
                  <c:v>140</c:v>
                </c:pt>
                <c:pt idx="20">
                  <c:v>134</c:v>
                </c:pt>
                <c:pt idx="21">
                  <c:v>121</c:v>
                </c:pt>
                <c:pt idx="22">
                  <c:v>152</c:v>
                </c:pt>
                <c:pt idx="23">
                  <c:v>136</c:v>
                </c:pt>
                <c:pt idx="24">
                  <c:v>146</c:v>
                </c:pt>
                <c:pt idx="25">
                  <c:v>136</c:v>
                </c:pt>
                <c:pt idx="26">
                  <c:v>181</c:v>
                </c:pt>
                <c:pt idx="27">
                  <c:v>108</c:v>
                </c:pt>
                <c:pt idx="28">
                  <c:v>152</c:v>
                </c:pt>
                <c:pt idx="29">
                  <c:v>141</c:v>
                </c:pt>
                <c:pt idx="30">
                  <c:v>120</c:v>
                </c:pt>
                <c:pt idx="31">
                  <c:v>171</c:v>
                </c:pt>
                <c:pt idx="32">
                  <c:v>141</c:v>
                </c:pt>
                <c:pt idx="33">
                  <c:v>108</c:v>
                </c:pt>
                <c:pt idx="34">
                  <c:v>171</c:v>
                </c:pt>
                <c:pt idx="35">
                  <c:v>141</c:v>
                </c:pt>
                <c:pt idx="36">
                  <c:v>171</c:v>
                </c:pt>
                <c:pt idx="37">
                  <c:v>120</c:v>
                </c:pt>
                <c:pt idx="38">
                  <c:v>121</c:v>
                </c:pt>
                <c:pt idx="39">
                  <c:v>121</c:v>
                </c:pt>
                <c:pt idx="40">
                  <c:v>181</c:v>
                </c:pt>
                <c:pt idx="41">
                  <c:v>109</c:v>
                </c:pt>
                <c:pt idx="42">
                  <c:v>181</c:v>
                </c:pt>
                <c:pt idx="43">
                  <c:v>181</c:v>
                </c:pt>
                <c:pt idx="44">
                  <c:v>141</c:v>
                </c:pt>
                <c:pt idx="45">
                  <c:v>152</c:v>
                </c:pt>
                <c:pt idx="46">
                  <c:v>156</c:v>
                </c:pt>
                <c:pt idx="47">
                  <c:v>110</c:v>
                </c:pt>
                <c:pt idx="48">
                  <c:v>141</c:v>
                </c:pt>
                <c:pt idx="49">
                  <c:v>121</c:v>
                </c:pt>
                <c:pt idx="50">
                  <c:v>120</c:v>
                </c:pt>
                <c:pt idx="51">
                  <c:v>121</c:v>
                </c:pt>
                <c:pt idx="52">
                  <c:v>108</c:v>
                </c:pt>
                <c:pt idx="53">
                  <c:v>146</c:v>
                </c:pt>
                <c:pt idx="54">
                  <c:v>108</c:v>
                </c:pt>
                <c:pt idx="55">
                  <c:v>122</c:v>
                </c:pt>
                <c:pt idx="56">
                  <c:v>122</c:v>
                </c:pt>
                <c:pt idx="57">
                  <c:v>146</c:v>
                </c:pt>
                <c:pt idx="58">
                  <c:v>122</c:v>
                </c:pt>
                <c:pt idx="59">
                  <c:v>110</c:v>
                </c:pt>
                <c:pt idx="60">
                  <c:v>122</c:v>
                </c:pt>
                <c:pt idx="61">
                  <c:v>110</c:v>
                </c:pt>
                <c:pt idx="62">
                  <c:v>110</c:v>
                </c:pt>
                <c:pt idx="63">
                  <c:v>122</c:v>
                </c:pt>
                <c:pt idx="64">
                  <c:v>108</c:v>
                </c:pt>
                <c:pt idx="65">
                  <c:v>109</c:v>
                </c:pt>
                <c:pt idx="66">
                  <c:v>146</c:v>
                </c:pt>
                <c:pt idx="67">
                  <c:v>122</c:v>
                </c:pt>
                <c:pt idx="68">
                  <c:v>109</c:v>
                </c:pt>
                <c:pt idx="69">
                  <c:v>108</c:v>
                </c:pt>
                <c:pt idx="70">
                  <c:v>110</c:v>
                </c:pt>
                <c:pt idx="71">
                  <c:v>146</c:v>
                </c:pt>
                <c:pt idx="72">
                  <c:v>120</c:v>
                </c:pt>
                <c:pt idx="73">
                  <c:v>98</c:v>
                </c:pt>
                <c:pt idx="74">
                  <c:v>97</c:v>
                </c:pt>
                <c:pt idx="75">
                  <c:v>98</c:v>
                </c:pt>
                <c:pt idx="76">
                  <c:v>110</c:v>
                </c:pt>
                <c:pt idx="77">
                  <c:v>110</c:v>
                </c:pt>
                <c:pt idx="78">
                  <c:v>98</c:v>
                </c:pt>
                <c:pt idx="79">
                  <c:v>108</c:v>
                </c:pt>
                <c:pt idx="80">
                  <c:v>110</c:v>
                </c:pt>
                <c:pt idx="81">
                  <c:v>120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110</c:v>
                </c:pt>
                <c:pt idx="86">
                  <c:v>122</c:v>
                </c:pt>
                <c:pt idx="87">
                  <c:v>92</c:v>
                </c:pt>
                <c:pt idx="88">
                  <c:v>122</c:v>
                </c:pt>
                <c:pt idx="89">
                  <c:v>122</c:v>
                </c:pt>
                <c:pt idx="90">
                  <c:v>109</c:v>
                </c:pt>
                <c:pt idx="91">
                  <c:v>146</c:v>
                </c:pt>
                <c:pt idx="92">
                  <c:v>98</c:v>
                </c:pt>
                <c:pt idx="93">
                  <c:v>97</c:v>
                </c:pt>
                <c:pt idx="94">
                  <c:v>98</c:v>
                </c:pt>
                <c:pt idx="95">
                  <c:v>109</c:v>
                </c:pt>
                <c:pt idx="96">
                  <c:v>122</c:v>
                </c:pt>
                <c:pt idx="97">
                  <c:v>98</c:v>
                </c:pt>
                <c:pt idx="98">
                  <c:v>108</c:v>
                </c:pt>
                <c:pt idx="99">
                  <c:v>97</c:v>
                </c:pt>
                <c:pt idx="100">
                  <c:v>97</c:v>
                </c:pt>
                <c:pt idx="101">
                  <c:v>109</c:v>
                </c:pt>
                <c:pt idx="102">
                  <c:v>98</c:v>
                </c:pt>
                <c:pt idx="103">
                  <c:v>98</c:v>
                </c:pt>
                <c:pt idx="104">
                  <c:v>92</c:v>
                </c:pt>
                <c:pt idx="105">
                  <c:v>110</c:v>
                </c:pt>
                <c:pt idx="106">
                  <c:v>110</c:v>
                </c:pt>
                <c:pt idx="107">
                  <c:v>97</c:v>
                </c:pt>
                <c:pt idx="108">
                  <c:v>110</c:v>
                </c:pt>
                <c:pt idx="109">
                  <c:v>108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90</c:v>
                </c:pt>
                <c:pt idx="114">
                  <c:v>98</c:v>
                </c:pt>
                <c:pt idx="115">
                  <c:v>108</c:v>
                </c:pt>
                <c:pt idx="116">
                  <c:v>97</c:v>
                </c:pt>
                <c:pt idx="117">
                  <c:v>108</c:v>
                </c:pt>
                <c:pt idx="118">
                  <c:v>91</c:v>
                </c:pt>
                <c:pt idx="119">
                  <c:v>97</c:v>
                </c:pt>
                <c:pt idx="120">
                  <c:v>97</c:v>
                </c:pt>
                <c:pt idx="121">
                  <c:v>92</c:v>
                </c:pt>
                <c:pt idx="122">
                  <c:v>92</c:v>
                </c:pt>
                <c:pt idx="123">
                  <c:v>98</c:v>
                </c:pt>
                <c:pt idx="124">
                  <c:v>92</c:v>
                </c:pt>
                <c:pt idx="125">
                  <c:v>108</c:v>
                </c:pt>
                <c:pt idx="126">
                  <c:v>103</c:v>
                </c:pt>
                <c:pt idx="127">
                  <c:v>108</c:v>
                </c:pt>
                <c:pt idx="128">
                  <c:v>122</c:v>
                </c:pt>
                <c:pt idx="129">
                  <c:v>98</c:v>
                </c:pt>
                <c:pt idx="130">
                  <c:v>92</c:v>
                </c:pt>
                <c:pt idx="131">
                  <c:v>92</c:v>
                </c:pt>
                <c:pt idx="132">
                  <c:v>97</c:v>
                </c:pt>
                <c:pt idx="133">
                  <c:v>91</c:v>
                </c:pt>
                <c:pt idx="134">
                  <c:v>91</c:v>
                </c:pt>
                <c:pt idx="135">
                  <c:v>90</c:v>
                </c:pt>
                <c:pt idx="136">
                  <c:v>90</c:v>
                </c:pt>
                <c:pt idx="137">
                  <c:v>92</c:v>
                </c:pt>
                <c:pt idx="138">
                  <c:v>97</c:v>
                </c:pt>
                <c:pt idx="139">
                  <c:v>90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92</c:v>
                </c:pt>
                <c:pt idx="149">
                  <c:v>91</c:v>
                </c:pt>
                <c:pt idx="150">
                  <c:v>90</c:v>
                </c:pt>
                <c:pt idx="151">
                  <c:v>90</c:v>
                </c:pt>
                <c:pt idx="152">
                  <c:v>97</c:v>
                </c:pt>
                <c:pt idx="153">
                  <c:v>79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61</c:v>
                </c:pt>
                <c:pt idx="158">
                  <c:v>97</c:v>
                </c:pt>
              </c:numCache>
            </c:numRef>
          </c:xVal>
          <c:yVal>
            <c:numRef>
              <c:f>'Регрессионная модель'!$Z$44:$Z$202</c:f>
              <c:numCache>
                <c:formatCode>General</c:formatCode>
                <c:ptCount val="159"/>
                <c:pt idx="0">
                  <c:v>155</c:v>
                </c:pt>
                <c:pt idx="1">
                  <c:v>176</c:v>
                </c:pt>
                <c:pt idx="2">
                  <c:v>123</c:v>
                </c:pt>
                <c:pt idx="3">
                  <c:v>123</c:v>
                </c:pt>
                <c:pt idx="4">
                  <c:v>123</c:v>
                </c:pt>
                <c:pt idx="5">
                  <c:v>123</c:v>
                </c:pt>
                <c:pt idx="6">
                  <c:v>140</c:v>
                </c:pt>
                <c:pt idx="7">
                  <c:v>114</c:v>
                </c:pt>
                <c:pt idx="8">
                  <c:v>106</c:v>
                </c:pt>
                <c:pt idx="9">
                  <c:v>143</c:v>
                </c:pt>
                <c:pt idx="10">
                  <c:v>134</c:v>
                </c:pt>
                <c:pt idx="11">
                  <c:v>121</c:v>
                </c:pt>
                <c:pt idx="12">
                  <c:v>121</c:v>
                </c:pt>
                <c:pt idx="13">
                  <c:v>200</c:v>
                </c:pt>
                <c:pt idx="14">
                  <c:v>160</c:v>
                </c:pt>
                <c:pt idx="15">
                  <c:v>162</c:v>
                </c:pt>
                <c:pt idx="16">
                  <c:v>160</c:v>
                </c:pt>
                <c:pt idx="17">
                  <c:v>162</c:v>
                </c:pt>
                <c:pt idx="18">
                  <c:v>160</c:v>
                </c:pt>
                <c:pt idx="19">
                  <c:v>120</c:v>
                </c:pt>
                <c:pt idx="20">
                  <c:v>142</c:v>
                </c:pt>
                <c:pt idx="21">
                  <c:v>160</c:v>
                </c:pt>
                <c:pt idx="22">
                  <c:v>95</c:v>
                </c:pt>
                <c:pt idx="23">
                  <c:v>110</c:v>
                </c:pt>
                <c:pt idx="24">
                  <c:v>116</c:v>
                </c:pt>
                <c:pt idx="25">
                  <c:v>115</c:v>
                </c:pt>
                <c:pt idx="26">
                  <c:v>160</c:v>
                </c:pt>
                <c:pt idx="27">
                  <c:v>101</c:v>
                </c:pt>
                <c:pt idx="28">
                  <c:v>95</c:v>
                </c:pt>
                <c:pt idx="29">
                  <c:v>114</c:v>
                </c:pt>
                <c:pt idx="30">
                  <c:v>97</c:v>
                </c:pt>
                <c:pt idx="31">
                  <c:v>161</c:v>
                </c:pt>
                <c:pt idx="32">
                  <c:v>114</c:v>
                </c:pt>
                <c:pt idx="33">
                  <c:v>101</c:v>
                </c:pt>
                <c:pt idx="34">
                  <c:v>161</c:v>
                </c:pt>
                <c:pt idx="35">
                  <c:v>114</c:v>
                </c:pt>
                <c:pt idx="36">
                  <c:v>156</c:v>
                </c:pt>
                <c:pt idx="37">
                  <c:v>95</c:v>
                </c:pt>
                <c:pt idx="38">
                  <c:v>110</c:v>
                </c:pt>
                <c:pt idx="39">
                  <c:v>110</c:v>
                </c:pt>
                <c:pt idx="40">
                  <c:v>152</c:v>
                </c:pt>
                <c:pt idx="41">
                  <c:v>102</c:v>
                </c:pt>
                <c:pt idx="42">
                  <c:v>152</c:v>
                </c:pt>
                <c:pt idx="43">
                  <c:v>152</c:v>
                </c:pt>
                <c:pt idx="44">
                  <c:v>114</c:v>
                </c:pt>
                <c:pt idx="45">
                  <c:v>95</c:v>
                </c:pt>
                <c:pt idx="46">
                  <c:v>145</c:v>
                </c:pt>
                <c:pt idx="47">
                  <c:v>101</c:v>
                </c:pt>
                <c:pt idx="48">
                  <c:v>114</c:v>
                </c:pt>
                <c:pt idx="49">
                  <c:v>110</c:v>
                </c:pt>
                <c:pt idx="50">
                  <c:v>97</c:v>
                </c:pt>
                <c:pt idx="51">
                  <c:v>110</c:v>
                </c:pt>
                <c:pt idx="52">
                  <c:v>111</c:v>
                </c:pt>
                <c:pt idx="53">
                  <c:v>116</c:v>
                </c:pt>
                <c:pt idx="54">
                  <c:v>111</c:v>
                </c:pt>
                <c:pt idx="55">
                  <c:v>92</c:v>
                </c:pt>
                <c:pt idx="56">
                  <c:v>84</c:v>
                </c:pt>
                <c:pt idx="57">
                  <c:v>116</c:v>
                </c:pt>
                <c:pt idx="58">
                  <c:v>92</c:v>
                </c:pt>
                <c:pt idx="59">
                  <c:v>73</c:v>
                </c:pt>
                <c:pt idx="60">
                  <c:v>84</c:v>
                </c:pt>
                <c:pt idx="61">
                  <c:v>100</c:v>
                </c:pt>
                <c:pt idx="62">
                  <c:v>86</c:v>
                </c:pt>
                <c:pt idx="63">
                  <c:v>84</c:v>
                </c:pt>
                <c:pt idx="64">
                  <c:v>94</c:v>
                </c:pt>
                <c:pt idx="65">
                  <c:v>100</c:v>
                </c:pt>
                <c:pt idx="66">
                  <c:v>116</c:v>
                </c:pt>
                <c:pt idx="67">
                  <c:v>92</c:v>
                </c:pt>
                <c:pt idx="68">
                  <c:v>90</c:v>
                </c:pt>
                <c:pt idx="69">
                  <c:v>94</c:v>
                </c:pt>
                <c:pt idx="70">
                  <c:v>116</c:v>
                </c:pt>
                <c:pt idx="71">
                  <c:v>116</c:v>
                </c:pt>
                <c:pt idx="72">
                  <c:v>97</c:v>
                </c:pt>
                <c:pt idx="73">
                  <c:v>112</c:v>
                </c:pt>
                <c:pt idx="74">
                  <c:v>68</c:v>
                </c:pt>
                <c:pt idx="75">
                  <c:v>112</c:v>
                </c:pt>
                <c:pt idx="76">
                  <c:v>116</c:v>
                </c:pt>
                <c:pt idx="77">
                  <c:v>116</c:v>
                </c:pt>
                <c:pt idx="78">
                  <c:v>70</c:v>
                </c:pt>
                <c:pt idx="79">
                  <c:v>82</c:v>
                </c:pt>
                <c:pt idx="80">
                  <c:v>86</c:v>
                </c:pt>
                <c:pt idx="81">
                  <c:v>97</c:v>
                </c:pt>
                <c:pt idx="82">
                  <c:v>92</c:v>
                </c:pt>
                <c:pt idx="83">
                  <c:v>88</c:v>
                </c:pt>
                <c:pt idx="84">
                  <c:v>88</c:v>
                </c:pt>
                <c:pt idx="85">
                  <c:v>86</c:v>
                </c:pt>
                <c:pt idx="86">
                  <c:v>84</c:v>
                </c:pt>
                <c:pt idx="87">
                  <c:v>62</c:v>
                </c:pt>
                <c:pt idx="88">
                  <c:v>88</c:v>
                </c:pt>
                <c:pt idx="89">
                  <c:v>84</c:v>
                </c:pt>
                <c:pt idx="90">
                  <c:v>85</c:v>
                </c:pt>
                <c:pt idx="91">
                  <c:v>116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85</c:v>
                </c:pt>
                <c:pt idx="96">
                  <c:v>88</c:v>
                </c:pt>
                <c:pt idx="97">
                  <c:v>70</c:v>
                </c:pt>
                <c:pt idx="98">
                  <c:v>82</c:v>
                </c:pt>
                <c:pt idx="99">
                  <c:v>69</c:v>
                </c:pt>
                <c:pt idx="100">
                  <c:v>52</c:v>
                </c:pt>
                <c:pt idx="101">
                  <c:v>85</c:v>
                </c:pt>
                <c:pt idx="102">
                  <c:v>102</c:v>
                </c:pt>
                <c:pt idx="103">
                  <c:v>102</c:v>
                </c:pt>
                <c:pt idx="104">
                  <c:v>62</c:v>
                </c:pt>
                <c:pt idx="105">
                  <c:v>56</c:v>
                </c:pt>
                <c:pt idx="106">
                  <c:v>86</c:v>
                </c:pt>
                <c:pt idx="107">
                  <c:v>69</c:v>
                </c:pt>
                <c:pt idx="108">
                  <c:v>56</c:v>
                </c:pt>
                <c:pt idx="109">
                  <c:v>82</c:v>
                </c:pt>
                <c:pt idx="110">
                  <c:v>52</c:v>
                </c:pt>
                <c:pt idx="111">
                  <c:v>70</c:v>
                </c:pt>
                <c:pt idx="112">
                  <c:v>102</c:v>
                </c:pt>
                <c:pt idx="113">
                  <c:v>68</c:v>
                </c:pt>
                <c:pt idx="114">
                  <c:v>68</c:v>
                </c:pt>
                <c:pt idx="115">
                  <c:v>73</c:v>
                </c:pt>
                <c:pt idx="116">
                  <c:v>69</c:v>
                </c:pt>
                <c:pt idx="117">
                  <c:v>82</c:v>
                </c:pt>
                <c:pt idx="118">
                  <c:v>68</c:v>
                </c:pt>
                <c:pt idx="119">
                  <c:v>69</c:v>
                </c:pt>
                <c:pt idx="120">
                  <c:v>69</c:v>
                </c:pt>
                <c:pt idx="121">
                  <c:v>76</c:v>
                </c:pt>
                <c:pt idx="122">
                  <c:v>76</c:v>
                </c:pt>
                <c:pt idx="123">
                  <c:v>70</c:v>
                </c:pt>
                <c:pt idx="124">
                  <c:v>76</c:v>
                </c:pt>
                <c:pt idx="125">
                  <c:v>82</c:v>
                </c:pt>
                <c:pt idx="126">
                  <c:v>55</c:v>
                </c:pt>
                <c:pt idx="127">
                  <c:v>73</c:v>
                </c:pt>
                <c:pt idx="128">
                  <c:v>88</c:v>
                </c:pt>
                <c:pt idx="129">
                  <c:v>70</c:v>
                </c:pt>
                <c:pt idx="130">
                  <c:v>62</c:v>
                </c:pt>
                <c:pt idx="131">
                  <c:v>76</c:v>
                </c:pt>
                <c:pt idx="132">
                  <c:v>69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69</c:v>
                </c:pt>
                <c:pt idx="139">
                  <c:v>70</c:v>
                </c:pt>
                <c:pt idx="140">
                  <c:v>76</c:v>
                </c:pt>
                <c:pt idx="141">
                  <c:v>62</c:v>
                </c:pt>
                <c:pt idx="142">
                  <c:v>58</c:v>
                </c:pt>
                <c:pt idx="143">
                  <c:v>68</c:v>
                </c:pt>
                <c:pt idx="144">
                  <c:v>62</c:v>
                </c:pt>
                <c:pt idx="145">
                  <c:v>70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60</c:v>
                </c:pt>
                <c:pt idx="154">
                  <c:v>68</c:v>
                </c:pt>
                <c:pt idx="155">
                  <c:v>62</c:v>
                </c:pt>
                <c:pt idx="156">
                  <c:v>68</c:v>
                </c:pt>
                <c:pt idx="157">
                  <c:v>48</c:v>
                </c:pt>
                <c:pt idx="158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554-BAFB-D3175B4F2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3574272"/>
        <c:axId val="-1253572096"/>
      </c:scatterChart>
      <c:valAx>
        <c:axId val="-1253574272"/>
        <c:scaling>
          <c:orientation val="minMax"/>
          <c:max val="260"/>
          <c:min val="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/>
                  <a:t>engine-size</a:t>
                </a:r>
                <a:endParaRPr lang="ru-RU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253572096"/>
        <c:crosses val="autoZero"/>
        <c:crossBetween val="midCat"/>
        <c:majorUnit val="10"/>
      </c:valAx>
      <c:valAx>
        <c:axId val="-1253572096"/>
        <c:scaling>
          <c:orientation val="minMax"/>
          <c:max val="2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/>
                  <a:t>Horsepower</a:t>
                </a:r>
                <a:endParaRPr lang="ru-RU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25357427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68</xdr:row>
      <xdr:rowOff>30816</xdr:rowOff>
    </xdr:from>
    <xdr:to>
      <xdr:col>2</xdr:col>
      <xdr:colOff>56030</xdr:colOff>
      <xdr:row>95</xdr:row>
      <xdr:rowOff>123263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1B3EEB-8DBF-4E49-AD08-4635C64C3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7844</xdr:colOff>
      <xdr:row>68</xdr:row>
      <xdr:rowOff>17930</xdr:rowOff>
    </xdr:from>
    <xdr:to>
      <xdr:col>5</xdr:col>
      <xdr:colOff>33618</xdr:colOff>
      <xdr:row>95</xdr:row>
      <xdr:rowOff>179294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FBC747-0C36-4689-8789-EFF521307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792256</xdr:colOff>
      <xdr:row>68</xdr:row>
      <xdr:rowOff>29133</xdr:rowOff>
    </xdr:from>
    <xdr:to>
      <xdr:col>8</xdr:col>
      <xdr:colOff>22412</xdr:colOff>
      <xdr:row>95</xdr:row>
      <xdr:rowOff>22410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FC25EB6-ACFA-4843-B6A6-6D474EDA1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1632697</xdr:colOff>
      <xdr:row>68</xdr:row>
      <xdr:rowOff>29136</xdr:rowOff>
    </xdr:from>
    <xdr:to>
      <xdr:col>11</xdr:col>
      <xdr:colOff>11206</xdr:colOff>
      <xdr:row>94</xdr:row>
      <xdr:rowOff>179294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C24CB4E8-E6C8-4E74-BE50-3A17A6685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7843</xdr:colOff>
      <xdr:row>68</xdr:row>
      <xdr:rowOff>30816</xdr:rowOff>
    </xdr:from>
    <xdr:to>
      <xdr:col>14</xdr:col>
      <xdr:colOff>22412</xdr:colOff>
      <xdr:row>94</xdr:row>
      <xdr:rowOff>179294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5C823B4-3692-443D-9627-070FB429B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601756</xdr:colOff>
      <xdr:row>68</xdr:row>
      <xdr:rowOff>19610</xdr:rowOff>
    </xdr:from>
    <xdr:to>
      <xdr:col>17</xdr:col>
      <xdr:colOff>0</xdr:colOff>
      <xdr:row>94</xdr:row>
      <xdr:rowOff>179294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BA4E4F3-50A6-4640-B16C-DED58A335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149167</xdr:colOff>
      <xdr:row>2</xdr:row>
      <xdr:rowOff>81643</xdr:rowOff>
    </xdr:from>
    <xdr:to>
      <xdr:col>24</xdr:col>
      <xdr:colOff>611470</xdr:colOff>
      <xdr:row>20</xdr:row>
      <xdr:rowOff>119062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976824</xdr:colOff>
      <xdr:row>37</xdr:row>
      <xdr:rowOff>102903</xdr:rowOff>
    </xdr:from>
    <xdr:to>
      <xdr:col>22</xdr:col>
      <xdr:colOff>114300</xdr:colOff>
      <xdr:row>62</xdr:row>
      <xdr:rowOff>151041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450564</xdr:colOff>
      <xdr:row>19</xdr:row>
      <xdr:rowOff>95928</xdr:rowOff>
    </xdr:from>
    <xdr:to>
      <xdr:col>28</xdr:col>
      <xdr:colOff>93376</xdr:colOff>
      <xdr:row>38</xdr:row>
      <xdr:rowOff>173489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17687</xdr:colOff>
      <xdr:row>227</xdr:row>
      <xdr:rowOff>175530</xdr:rowOff>
    </xdr:from>
    <xdr:to>
      <xdr:col>6</xdr:col>
      <xdr:colOff>353785</xdr:colOff>
      <xdr:row>250</xdr:row>
      <xdr:rowOff>68035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1ADF711-2867-405E-B330-B26D3B09D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966107</xdr:colOff>
      <xdr:row>63</xdr:row>
      <xdr:rowOff>40821</xdr:rowOff>
    </xdr:from>
    <xdr:to>
      <xdr:col>22</xdr:col>
      <xdr:colOff>103583</xdr:colOff>
      <xdr:row>88</xdr:row>
      <xdr:rowOff>88959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9084007-C134-4BD1-841C-04A62033A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976311</xdr:colOff>
      <xdr:row>88</xdr:row>
      <xdr:rowOff>176211</xdr:rowOff>
    </xdr:from>
    <xdr:to>
      <xdr:col>22</xdr:col>
      <xdr:colOff>466725</xdr:colOff>
      <xdr:row>109</xdr:row>
      <xdr:rowOff>180974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B04592B-117E-442A-8842-5D2D140D7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s-85" connectionId="1" xr16:uid="{00000000-0016-0000-00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Z160"/>
  <sheetViews>
    <sheetView tabSelected="1" topLeftCell="C115" zoomScaleNormal="100" workbookViewId="0">
      <selection activeCell="V1" sqref="V1:V160"/>
    </sheetView>
  </sheetViews>
  <sheetFormatPr defaultRowHeight="15" x14ac:dyDescent="0.25"/>
  <cols>
    <col min="1" max="1" width="11" style="3" bestFit="1" customWidth="1"/>
    <col min="2" max="2" width="18.85546875" style="3" bestFit="1" customWidth="1"/>
    <col min="3" max="3" width="15.28515625" style="6" bestFit="1" customWidth="1"/>
    <col min="4" max="4" width="10" bestFit="1" customWidth="1"/>
    <col min="5" max="5" width="10.7109375" style="6" bestFit="1" customWidth="1"/>
    <col min="6" max="6" width="14.42578125" bestFit="1" customWidth="1"/>
    <col min="7" max="7" width="12" style="6" bestFit="1" customWidth="1"/>
    <col min="8" max="8" width="13" bestFit="1" customWidth="1"/>
    <col min="9" max="9" width="16.28515625" style="6" bestFit="1" customWidth="1"/>
    <col min="10" max="10" width="11.42578125" style="3" bestFit="1" customWidth="1"/>
    <col min="11" max="11" width="8.140625" style="7" bestFit="1" customWidth="1"/>
    <col min="12" max="12" width="9.42578125" style="3" customWidth="1"/>
    <col min="13" max="13" width="7.28515625" style="7" bestFit="1" customWidth="1"/>
    <col min="14" max="14" width="12.140625" style="3" bestFit="1" customWidth="1"/>
    <col min="15" max="15" width="12.5703125" style="6" bestFit="1" customWidth="1"/>
    <col min="16" max="16" width="18.5703125" bestFit="1" customWidth="1"/>
    <col min="17" max="17" width="11.7109375" style="7" bestFit="1" customWidth="1"/>
    <col min="18" max="18" width="12.140625" customWidth="1"/>
    <col min="19" max="19" width="5.7109375" style="7" bestFit="1" customWidth="1"/>
    <col min="20" max="20" width="7.28515625" style="3" bestFit="1" customWidth="1"/>
    <col min="21" max="21" width="18.85546875" style="7" bestFit="1" customWidth="1"/>
    <col min="22" max="22" width="12.140625" style="3" bestFit="1" customWidth="1"/>
    <col min="23" max="23" width="10.5703125" style="7" bestFit="1" customWidth="1"/>
    <col min="24" max="24" width="10" style="3" bestFit="1" customWidth="1"/>
    <col min="25" max="25" width="14.28515625" style="7" bestFit="1" customWidth="1"/>
    <col min="26" max="26" width="12.42578125" style="3" customWidth="1"/>
    <col min="29" max="29" width="13" customWidth="1"/>
    <col min="30" max="30" width="12.7109375" customWidth="1"/>
    <col min="31" max="31" width="11.28515625" customWidth="1"/>
    <col min="32" max="32" width="10.140625" customWidth="1"/>
    <col min="33" max="33" width="12.85546875" customWidth="1"/>
    <col min="36" max="36" width="16" customWidth="1"/>
    <col min="37" max="37" width="11.7109375" bestFit="1" customWidth="1"/>
    <col min="38" max="38" width="12.42578125" bestFit="1" customWidth="1"/>
    <col min="39" max="39" width="6.140625" bestFit="1" customWidth="1"/>
    <col min="40" max="40" width="10.28515625" bestFit="1" customWidth="1"/>
    <col min="41" max="41" width="11.85546875" bestFit="1" customWidth="1"/>
    <col min="42" max="42" width="6.5703125" bestFit="1" customWidth="1"/>
    <col min="51" max="51" width="11.5703125" customWidth="1"/>
    <col min="52" max="52" width="11.85546875" customWidth="1"/>
  </cols>
  <sheetData>
    <row r="1" spans="1:52" s="8" customFormat="1" ht="15.75" x14ac:dyDescent="0.25">
      <c r="A1" s="9" t="s">
        <v>54</v>
      </c>
      <c r="B1" s="9" t="s">
        <v>55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9" t="s">
        <v>63</v>
      </c>
      <c r="K1" s="9" t="s">
        <v>64</v>
      </c>
      <c r="L1" s="9" t="s">
        <v>65</v>
      </c>
      <c r="M1" s="9" t="s">
        <v>66</v>
      </c>
      <c r="N1" s="9" t="s">
        <v>67</v>
      </c>
      <c r="O1" s="10" t="s">
        <v>68</v>
      </c>
      <c r="P1" s="10" t="s">
        <v>69</v>
      </c>
      <c r="Q1" s="9" t="s">
        <v>70</v>
      </c>
      <c r="R1" s="10" t="s">
        <v>71</v>
      </c>
      <c r="S1" s="9" t="s">
        <v>72</v>
      </c>
      <c r="T1" s="9" t="s">
        <v>73</v>
      </c>
      <c r="U1" s="9" t="s">
        <v>74</v>
      </c>
      <c r="V1" s="9" t="s">
        <v>75</v>
      </c>
      <c r="W1" s="9" t="s">
        <v>76</v>
      </c>
      <c r="X1" s="9" t="s">
        <v>77</v>
      </c>
      <c r="Y1" s="9" t="s">
        <v>78</v>
      </c>
      <c r="Z1" s="9" t="s">
        <v>79</v>
      </c>
      <c r="AC1" s="11" t="str">
        <f>Q1</f>
        <v>engine-size</v>
      </c>
      <c r="AD1" s="11" t="str">
        <f>V1</f>
        <v>horsepower</v>
      </c>
      <c r="AE1" s="11" t="str">
        <f>Z1</f>
        <v>price</v>
      </c>
      <c r="AF1" s="11" t="str">
        <f>W1</f>
        <v>peak-rpm</v>
      </c>
      <c r="AG1" s="11" t="str">
        <f>J1</f>
        <v>wheel-base</v>
      </c>
      <c r="AH1" s="11" t="str">
        <f>L1</f>
        <v>width</v>
      </c>
      <c r="AJ1" s="8" t="s">
        <v>160</v>
      </c>
      <c r="AK1" s="8" t="s">
        <v>70</v>
      </c>
      <c r="AL1" s="8" t="s">
        <v>75</v>
      </c>
      <c r="AM1" s="8" t="s">
        <v>79</v>
      </c>
      <c r="AN1" s="8" t="s">
        <v>76</v>
      </c>
      <c r="AO1" s="8" t="s">
        <v>63</v>
      </c>
      <c r="AP1" s="8" t="s">
        <v>65</v>
      </c>
      <c r="AR1" s="8" t="s">
        <v>70</v>
      </c>
      <c r="AS1" s="8" t="s">
        <v>75</v>
      </c>
      <c r="AT1" s="8" t="s">
        <v>79</v>
      </c>
      <c r="AU1" s="8" t="s">
        <v>76</v>
      </c>
      <c r="AV1" s="8" t="s">
        <v>63</v>
      </c>
      <c r="AW1" s="8" t="s">
        <v>65</v>
      </c>
      <c r="AY1" s="39" t="s">
        <v>60</v>
      </c>
      <c r="AZ1" s="41" t="s">
        <v>75</v>
      </c>
    </row>
    <row r="2" spans="1:52" ht="15.75" x14ac:dyDescent="0.25">
      <c r="A2" s="4" t="s">
        <v>0</v>
      </c>
      <c r="B2" s="2">
        <v>142</v>
      </c>
      <c r="C2" s="5" t="s">
        <v>38</v>
      </c>
      <c r="D2" s="1" t="s">
        <v>1</v>
      </c>
      <c r="E2" s="5" t="s">
        <v>2</v>
      </c>
      <c r="F2" s="1" t="s">
        <v>3</v>
      </c>
      <c r="G2" s="5" t="s">
        <v>4</v>
      </c>
      <c r="H2" s="1" t="s">
        <v>5</v>
      </c>
      <c r="I2" s="5" t="s">
        <v>6</v>
      </c>
      <c r="J2" s="2">
        <v>96.6</v>
      </c>
      <c r="K2" s="4">
        <v>180.3</v>
      </c>
      <c r="L2" s="2">
        <v>70.5</v>
      </c>
      <c r="M2" s="4">
        <v>50.8</v>
      </c>
      <c r="N2" s="2">
        <v>3685</v>
      </c>
      <c r="O2" s="5" t="s">
        <v>12</v>
      </c>
      <c r="P2" s="1" t="s">
        <v>40</v>
      </c>
      <c r="Q2" s="4">
        <v>234</v>
      </c>
      <c r="R2" s="1" t="s">
        <v>9</v>
      </c>
      <c r="S2" s="4">
        <v>3.46</v>
      </c>
      <c r="T2" s="2">
        <v>3.1</v>
      </c>
      <c r="U2" s="4">
        <v>8.3000000000000007</v>
      </c>
      <c r="V2" s="2">
        <v>155</v>
      </c>
      <c r="W2" s="4">
        <v>4750</v>
      </c>
      <c r="X2" s="2">
        <v>16</v>
      </c>
      <c r="Y2" s="4">
        <v>18</v>
      </c>
      <c r="Z2" s="2">
        <v>35056</v>
      </c>
      <c r="AC2" s="11">
        <f t="shared" ref="AC2:AC65" si="0">Q2</f>
        <v>234</v>
      </c>
      <c r="AD2" s="11">
        <f t="shared" ref="AD2:AD65" si="1">V2</f>
        <v>155</v>
      </c>
      <c r="AE2" s="11">
        <f t="shared" ref="AE2:AE65" si="2">Z2</f>
        <v>35056</v>
      </c>
      <c r="AF2" s="11">
        <f t="shared" ref="AF2:AF65" si="3">W2</f>
        <v>4750</v>
      </c>
      <c r="AG2" s="11">
        <f t="shared" ref="AG2:AG65" si="4">J2</f>
        <v>96.6</v>
      </c>
      <c r="AH2" s="11">
        <f t="shared" ref="AH2:AH65" si="5">L2</f>
        <v>70.5</v>
      </c>
      <c r="AJ2" s="40" t="s">
        <v>38</v>
      </c>
      <c r="AK2">
        <v>61</v>
      </c>
      <c r="AL2">
        <v>48</v>
      </c>
      <c r="AM2">
        <v>5118</v>
      </c>
      <c r="AN2">
        <v>4150</v>
      </c>
      <c r="AO2">
        <v>86.6</v>
      </c>
      <c r="AP2">
        <v>60.3</v>
      </c>
      <c r="AR2">
        <v>258</v>
      </c>
      <c r="AS2">
        <v>200</v>
      </c>
      <c r="AT2">
        <v>35056</v>
      </c>
      <c r="AU2">
        <v>6600</v>
      </c>
      <c r="AV2">
        <v>115.6</v>
      </c>
      <c r="AW2">
        <v>71.7</v>
      </c>
      <c r="AY2" s="40" t="s">
        <v>4</v>
      </c>
      <c r="AZ2" s="2">
        <v>155</v>
      </c>
    </row>
    <row r="3" spans="1:52" ht="15.75" x14ac:dyDescent="0.25">
      <c r="A3" s="4" t="s">
        <v>23</v>
      </c>
      <c r="B3" s="2">
        <v>145</v>
      </c>
      <c r="C3" s="5" t="s">
        <v>34</v>
      </c>
      <c r="D3" s="1" t="s">
        <v>1</v>
      </c>
      <c r="E3" s="5" t="s">
        <v>2</v>
      </c>
      <c r="F3" s="1" t="s">
        <v>8</v>
      </c>
      <c r="G3" s="5" t="s">
        <v>16</v>
      </c>
      <c r="H3" s="1" t="s">
        <v>5</v>
      </c>
      <c r="I3" s="5" t="s">
        <v>6</v>
      </c>
      <c r="J3" s="2">
        <v>113</v>
      </c>
      <c r="K3" s="4">
        <v>199.6</v>
      </c>
      <c r="L3" s="2">
        <v>69.599999999999994</v>
      </c>
      <c r="M3" s="4">
        <v>52.8</v>
      </c>
      <c r="N3" s="2">
        <v>4066</v>
      </c>
      <c r="O3" s="5" t="s">
        <v>7</v>
      </c>
      <c r="P3" s="1" t="s">
        <v>13</v>
      </c>
      <c r="Q3" s="4">
        <v>258</v>
      </c>
      <c r="R3" s="1" t="s">
        <v>9</v>
      </c>
      <c r="S3" s="4">
        <v>3.63</v>
      </c>
      <c r="T3" s="2">
        <v>4.17</v>
      </c>
      <c r="U3" s="4">
        <v>8.1</v>
      </c>
      <c r="V3" s="2">
        <v>176</v>
      </c>
      <c r="W3" s="4">
        <v>4750</v>
      </c>
      <c r="X3" s="2">
        <v>15</v>
      </c>
      <c r="Y3" s="4">
        <v>19</v>
      </c>
      <c r="Z3" s="2">
        <v>32250</v>
      </c>
      <c r="AC3" s="11">
        <f t="shared" si="0"/>
        <v>258</v>
      </c>
      <c r="AD3" s="11">
        <f t="shared" si="1"/>
        <v>176</v>
      </c>
      <c r="AE3" s="11">
        <f t="shared" si="2"/>
        <v>32250</v>
      </c>
      <c r="AF3" s="11">
        <f t="shared" si="3"/>
        <v>4750</v>
      </c>
      <c r="AG3" s="11">
        <f t="shared" si="4"/>
        <v>113</v>
      </c>
      <c r="AH3" s="11">
        <f t="shared" si="5"/>
        <v>69.599999999999994</v>
      </c>
      <c r="AJ3" s="40" t="s">
        <v>34</v>
      </c>
      <c r="AK3">
        <v>79</v>
      </c>
      <c r="AL3">
        <v>52</v>
      </c>
      <c r="AM3">
        <v>5151</v>
      </c>
      <c r="AN3">
        <v>4150</v>
      </c>
      <c r="AO3">
        <v>86.6</v>
      </c>
      <c r="AP3">
        <v>62.5</v>
      </c>
      <c r="AY3" s="40" t="s">
        <v>16</v>
      </c>
      <c r="AZ3" s="2">
        <v>176</v>
      </c>
    </row>
    <row r="4" spans="1:52" ht="15.75" x14ac:dyDescent="0.25">
      <c r="A4" s="4" t="s">
        <v>30</v>
      </c>
      <c r="B4" s="2">
        <v>93</v>
      </c>
      <c r="C4" s="5" t="s">
        <v>38</v>
      </c>
      <c r="D4" s="1" t="s">
        <v>36</v>
      </c>
      <c r="E4" s="5" t="s">
        <v>22</v>
      </c>
      <c r="F4" s="1" t="s">
        <v>8</v>
      </c>
      <c r="G4" s="5" t="s">
        <v>16</v>
      </c>
      <c r="H4" s="1" t="s">
        <v>5</v>
      </c>
      <c r="I4" s="5" t="s">
        <v>6</v>
      </c>
      <c r="J4" s="2">
        <v>115.6</v>
      </c>
      <c r="K4" s="4">
        <v>202.6</v>
      </c>
      <c r="L4" s="2">
        <v>71.7</v>
      </c>
      <c r="M4" s="4">
        <v>56.3</v>
      </c>
      <c r="N4" s="2">
        <v>3770</v>
      </c>
      <c r="O4" s="5" t="s">
        <v>18</v>
      </c>
      <c r="P4" s="1" t="s">
        <v>20</v>
      </c>
      <c r="Q4" s="4">
        <v>183</v>
      </c>
      <c r="R4" s="1" t="s">
        <v>37</v>
      </c>
      <c r="S4" s="4">
        <v>3.58</v>
      </c>
      <c r="T4" s="2">
        <v>3.64</v>
      </c>
      <c r="U4" s="4">
        <v>21.5</v>
      </c>
      <c r="V4" s="2">
        <v>123</v>
      </c>
      <c r="W4" s="4">
        <v>4350</v>
      </c>
      <c r="X4" s="2">
        <v>22</v>
      </c>
      <c r="Y4" s="4">
        <v>25</v>
      </c>
      <c r="Z4" s="2">
        <v>31600</v>
      </c>
      <c r="AC4" s="11">
        <f t="shared" si="0"/>
        <v>183</v>
      </c>
      <c r="AD4" s="11">
        <f t="shared" si="1"/>
        <v>123</v>
      </c>
      <c r="AE4" s="11">
        <f t="shared" si="2"/>
        <v>31600</v>
      </c>
      <c r="AF4" s="11">
        <f t="shared" si="3"/>
        <v>4350</v>
      </c>
      <c r="AG4" s="11">
        <f t="shared" si="4"/>
        <v>115.6</v>
      </c>
      <c r="AH4" s="11">
        <f t="shared" si="5"/>
        <v>71.7</v>
      </c>
      <c r="AJ4" s="40" t="s">
        <v>38</v>
      </c>
      <c r="AK4">
        <v>90</v>
      </c>
      <c r="AL4">
        <v>52</v>
      </c>
      <c r="AM4">
        <v>5195</v>
      </c>
      <c r="AN4">
        <v>4150</v>
      </c>
      <c r="AO4">
        <v>88.4</v>
      </c>
      <c r="AP4">
        <v>63.4</v>
      </c>
      <c r="AY4" s="40" t="s">
        <v>16</v>
      </c>
      <c r="AZ4" s="2">
        <v>123</v>
      </c>
    </row>
    <row r="5" spans="1:52" ht="15.75" x14ac:dyDescent="0.25">
      <c r="A5" s="4" t="s">
        <v>30</v>
      </c>
      <c r="B5" s="2">
        <v>93</v>
      </c>
      <c r="C5" s="5" t="s">
        <v>38</v>
      </c>
      <c r="D5" s="1" t="s">
        <v>36</v>
      </c>
      <c r="E5" s="5" t="s">
        <v>22</v>
      </c>
      <c r="F5" s="1" t="s">
        <v>8</v>
      </c>
      <c r="G5" s="5" t="s">
        <v>21</v>
      </c>
      <c r="H5" s="1" t="s">
        <v>5</v>
      </c>
      <c r="I5" s="5" t="s">
        <v>6</v>
      </c>
      <c r="J5" s="2">
        <v>110</v>
      </c>
      <c r="K5" s="4">
        <v>190.9</v>
      </c>
      <c r="L5" s="2">
        <v>70.3</v>
      </c>
      <c r="M5" s="4">
        <v>58.7</v>
      </c>
      <c r="N5" s="2">
        <v>3750</v>
      </c>
      <c r="O5" s="5" t="s">
        <v>18</v>
      </c>
      <c r="P5" s="1" t="s">
        <v>20</v>
      </c>
      <c r="Q5" s="4">
        <v>183</v>
      </c>
      <c r="R5" s="1" t="s">
        <v>37</v>
      </c>
      <c r="S5" s="4">
        <v>3.58</v>
      </c>
      <c r="T5" s="2">
        <v>3.64</v>
      </c>
      <c r="U5" s="4">
        <v>21.5</v>
      </c>
      <c r="V5" s="2">
        <v>123</v>
      </c>
      <c r="W5" s="4">
        <v>4350</v>
      </c>
      <c r="X5" s="2">
        <v>22</v>
      </c>
      <c r="Y5" s="4">
        <v>25</v>
      </c>
      <c r="Z5" s="2">
        <v>28248</v>
      </c>
      <c r="AC5" s="11">
        <f t="shared" si="0"/>
        <v>183</v>
      </c>
      <c r="AD5" s="11">
        <f t="shared" si="1"/>
        <v>123</v>
      </c>
      <c r="AE5" s="11">
        <f t="shared" si="2"/>
        <v>28248</v>
      </c>
      <c r="AF5" s="11">
        <f t="shared" si="3"/>
        <v>4350</v>
      </c>
      <c r="AG5" s="11">
        <f t="shared" si="4"/>
        <v>110</v>
      </c>
      <c r="AH5" s="11">
        <f t="shared" si="5"/>
        <v>70.3</v>
      </c>
      <c r="AJ5" s="40" t="s">
        <v>38</v>
      </c>
      <c r="AK5">
        <v>90</v>
      </c>
      <c r="AL5">
        <v>55</v>
      </c>
      <c r="AM5">
        <v>5348</v>
      </c>
      <c r="AN5">
        <v>4200</v>
      </c>
      <c r="AO5">
        <v>91.3</v>
      </c>
      <c r="AP5">
        <v>63.6</v>
      </c>
      <c r="AY5" s="40" t="s">
        <v>21</v>
      </c>
      <c r="AZ5" s="2">
        <v>123</v>
      </c>
    </row>
    <row r="6" spans="1:52" ht="15.75" x14ac:dyDescent="0.25">
      <c r="A6" s="4" t="s">
        <v>23</v>
      </c>
      <c r="B6" s="2">
        <v>93</v>
      </c>
      <c r="C6" s="5" t="s">
        <v>38</v>
      </c>
      <c r="D6" s="1" t="s">
        <v>36</v>
      </c>
      <c r="E6" s="5" t="s">
        <v>22</v>
      </c>
      <c r="F6" s="1" t="s">
        <v>3</v>
      </c>
      <c r="G6" s="5" t="s">
        <v>39</v>
      </c>
      <c r="H6" s="1" t="s">
        <v>5</v>
      </c>
      <c r="I6" s="5" t="s">
        <v>6</v>
      </c>
      <c r="J6" s="2">
        <v>106.7</v>
      </c>
      <c r="K6" s="4">
        <v>187.5</v>
      </c>
      <c r="L6" s="2">
        <v>70.3</v>
      </c>
      <c r="M6" s="4">
        <v>54.9</v>
      </c>
      <c r="N6" s="2">
        <v>3495</v>
      </c>
      <c r="O6" s="5" t="s">
        <v>18</v>
      </c>
      <c r="P6" s="1" t="s">
        <v>20</v>
      </c>
      <c r="Q6" s="4">
        <v>183</v>
      </c>
      <c r="R6" s="1" t="s">
        <v>37</v>
      </c>
      <c r="S6" s="4">
        <v>3.58</v>
      </c>
      <c r="T6" s="2">
        <v>3.64</v>
      </c>
      <c r="U6" s="4">
        <v>21.5</v>
      </c>
      <c r="V6" s="2">
        <v>123</v>
      </c>
      <c r="W6" s="4">
        <v>4350</v>
      </c>
      <c r="X6" s="2">
        <v>22</v>
      </c>
      <c r="Y6" s="4">
        <v>25</v>
      </c>
      <c r="Z6" s="2">
        <v>28176</v>
      </c>
      <c r="AC6" s="11">
        <f t="shared" si="0"/>
        <v>183</v>
      </c>
      <c r="AD6" s="11">
        <f t="shared" si="1"/>
        <v>123</v>
      </c>
      <c r="AE6" s="11">
        <f t="shared" si="2"/>
        <v>28176</v>
      </c>
      <c r="AF6" s="11">
        <f t="shared" si="3"/>
        <v>4350</v>
      </c>
      <c r="AG6" s="11">
        <f t="shared" si="4"/>
        <v>106.7</v>
      </c>
      <c r="AH6" s="11">
        <f t="shared" si="5"/>
        <v>70.3</v>
      </c>
      <c r="AJ6" s="40" t="s">
        <v>38</v>
      </c>
      <c r="AK6">
        <v>90</v>
      </c>
      <c r="AL6">
        <v>56</v>
      </c>
      <c r="AM6">
        <v>5389</v>
      </c>
      <c r="AN6">
        <v>4200</v>
      </c>
      <c r="AO6">
        <v>91.3</v>
      </c>
      <c r="AP6">
        <v>63.6</v>
      </c>
      <c r="AY6" s="40" t="s">
        <v>39</v>
      </c>
      <c r="AZ6" s="2">
        <v>123</v>
      </c>
    </row>
    <row r="7" spans="1:52" ht="15.75" x14ac:dyDescent="0.25">
      <c r="A7" s="4" t="s">
        <v>30</v>
      </c>
      <c r="B7" s="2">
        <v>93</v>
      </c>
      <c r="C7" s="5" t="s">
        <v>38</v>
      </c>
      <c r="D7" s="1" t="s">
        <v>36</v>
      </c>
      <c r="E7" s="5" t="s">
        <v>22</v>
      </c>
      <c r="F7" s="1" t="s">
        <v>8</v>
      </c>
      <c r="G7" s="5" t="s">
        <v>16</v>
      </c>
      <c r="H7" s="1" t="s">
        <v>5</v>
      </c>
      <c r="I7" s="5" t="s">
        <v>6</v>
      </c>
      <c r="J7" s="2">
        <v>110</v>
      </c>
      <c r="K7" s="4">
        <v>190.9</v>
      </c>
      <c r="L7" s="2">
        <v>70.3</v>
      </c>
      <c r="M7" s="4">
        <v>56.5</v>
      </c>
      <c r="N7" s="2">
        <v>3515</v>
      </c>
      <c r="O7" s="5" t="s">
        <v>18</v>
      </c>
      <c r="P7" s="1" t="s">
        <v>20</v>
      </c>
      <c r="Q7" s="4">
        <v>183</v>
      </c>
      <c r="R7" s="1" t="s">
        <v>37</v>
      </c>
      <c r="S7" s="4">
        <v>3.58</v>
      </c>
      <c r="T7" s="2">
        <v>3.64</v>
      </c>
      <c r="U7" s="4">
        <v>21.5</v>
      </c>
      <c r="V7" s="2">
        <v>123</v>
      </c>
      <c r="W7" s="4">
        <v>4350</v>
      </c>
      <c r="X7" s="2">
        <v>22</v>
      </c>
      <c r="Y7" s="4">
        <v>25</v>
      </c>
      <c r="Z7" s="2">
        <v>25552</v>
      </c>
      <c r="AC7" s="11">
        <f t="shared" si="0"/>
        <v>183</v>
      </c>
      <c r="AD7" s="11">
        <f t="shared" si="1"/>
        <v>123</v>
      </c>
      <c r="AE7" s="11">
        <f t="shared" si="2"/>
        <v>25552</v>
      </c>
      <c r="AF7" s="11">
        <f t="shared" si="3"/>
        <v>4350</v>
      </c>
      <c r="AG7" s="11">
        <f t="shared" si="4"/>
        <v>110</v>
      </c>
      <c r="AH7" s="11">
        <f t="shared" si="5"/>
        <v>70.3</v>
      </c>
      <c r="AJ7" s="40" t="s">
        <v>38</v>
      </c>
      <c r="AK7">
        <v>90</v>
      </c>
      <c r="AL7">
        <v>56</v>
      </c>
      <c r="AM7">
        <v>5399</v>
      </c>
      <c r="AN7">
        <v>4200</v>
      </c>
      <c r="AO7">
        <v>93</v>
      </c>
      <c r="AP7">
        <v>63.6</v>
      </c>
      <c r="AY7" s="40" t="s">
        <v>16</v>
      </c>
      <c r="AZ7" s="2">
        <v>123</v>
      </c>
    </row>
    <row r="8" spans="1:52" ht="15.75" x14ac:dyDescent="0.25">
      <c r="A8" s="4" t="s">
        <v>10</v>
      </c>
      <c r="B8" s="2">
        <v>158</v>
      </c>
      <c r="C8" s="5" t="s">
        <v>15</v>
      </c>
      <c r="D8" s="1" t="s">
        <v>1</v>
      </c>
      <c r="E8" s="5" t="s">
        <v>22</v>
      </c>
      <c r="F8" s="1" t="s">
        <v>8</v>
      </c>
      <c r="G8" s="5" t="s">
        <v>16</v>
      </c>
      <c r="H8" s="1" t="s">
        <v>17</v>
      </c>
      <c r="I8" s="5" t="s">
        <v>6</v>
      </c>
      <c r="J8" s="2">
        <v>105.8</v>
      </c>
      <c r="K8" s="4">
        <v>192.7</v>
      </c>
      <c r="L8" s="2">
        <v>71.400000000000006</v>
      </c>
      <c r="M8" s="4">
        <v>55.9</v>
      </c>
      <c r="N8" s="2">
        <v>3086</v>
      </c>
      <c r="O8" s="5" t="s">
        <v>18</v>
      </c>
      <c r="P8" s="1" t="s">
        <v>20</v>
      </c>
      <c r="Q8" s="4">
        <v>131</v>
      </c>
      <c r="R8" s="1" t="s">
        <v>9</v>
      </c>
      <c r="S8" s="4">
        <v>3.13</v>
      </c>
      <c r="T8" s="2">
        <v>3.4</v>
      </c>
      <c r="U8" s="4">
        <v>8.3000000000000007</v>
      </c>
      <c r="V8" s="2">
        <v>140</v>
      </c>
      <c r="W8" s="4">
        <v>5500</v>
      </c>
      <c r="X8" s="2">
        <v>17</v>
      </c>
      <c r="Y8" s="4">
        <v>20</v>
      </c>
      <c r="Z8" s="2">
        <v>23875</v>
      </c>
      <c r="AA8" s="3"/>
      <c r="AC8" s="11">
        <f t="shared" si="0"/>
        <v>131</v>
      </c>
      <c r="AD8" s="11">
        <f t="shared" si="1"/>
        <v>140</v>
      </c>
      <c r="AE8" s="11">
        <f t="shared" si="2"/>
        <v>23875</v>
      </c>
      <c r="AF8" s="11">
        <f t="shared" si="3"/>
        <v>5500</v>
      </c>
      <c r="AG8" s="11">
        <f t="shared" si="4"/>
        <v>105.8</v>
      </c>
      <c r="AH8" s="11">
        <f t="shared" si="5"/>
        <v>71.400000000000006</v>
      </c>
      <c r="AJ8" s="40" t="s">
        <v>15</v>
      </c>
      <c r="AK8">
        <v>90</v>
      </c>
      <c r="AL8">
        <v>58</v>
      </c>
      <c r="AM8">
        <v>5499</v>
      </c>
      <c r="AN8">
        <v>4200</v>
      </c>
      <c r="AO8">
        <v>93.1</v>
      </c>
      <c r="AP8">
        <v>63.6</v>
      </c>
      <c r="AY8" s="40" t="s">
        <v>16</v>
      </c>
      <c r="AZ8" s="2">
        <v>140</v>
      </c>
    </row>
    <row r="9" spans="1:52" ht="15.75" x14ac:dyDescent="0.25">
      <c r="A9" s="4" t="s">
        <v>30</v>
      </c>
      <c r="B9" s="2">
        <v>95</v>
      </c>
      <c r="C9" s="5" t="s">
        <v>53</v>
      </c>
      <c r="D9" s="1" t="s">
        <v>1</v>
      </c>
      <c r="E9" s="5" t="s">
        <v>22</v>
      </c>
      <c r="F9" s="1" t="s">
        <v>8</v>
      </c>
      <c r="G9" s="5" t="s">
        <v>16</v>
      </c>
      <c r="H9" s="1" t="s">
        <v>5</v>
      </c>
      <c r="I9" s="5" t="s">
        <v>6</v>
      </c>
      <c r="J9" s="2">
        <v>109.1</v>
      </c>
      <c r="K9" s="4">
        <v>188.8</v>
      </c>
      <c r="L9" s="2">
        <v>68.900000000000006</v>
      </c>
      <c r="M9" s="4">
        <v>55.5</v>
      </c>
      <c r="N9" s="2">
        <v>3062</v>
      </c>
      <c r="O9" s="5" t="s">
        <v>18</v>
      </c>
      <c r="P9" s="1" t="s">
        <v>8</v>
      </c>
      <c r="Q9" s="4">
        <v>141</v>
      </c>
      <c r="R9" s="1" t="s">
        <v>9</v>
      </c>
      <c r="S9" s="4">
        <v>3.78</v>
      </c>
      <c r="T9" s="2">
        <v>3.15</v>
      </c>
      <c r="U9" s="4">
        <v>9.5</v>
      </c>
      <c r="V9" s="2">
        <v>114</v>
      </c>
      <c r="W9" s="4">
        <v>5400</v>
      </c>
      <c r="X9" s="2">
        <v>19</v>
      </c>
      <c r="Y9" s="4">
        <v>25</v>
      </c>
      <c r="Z9" s="2">
        <v>22625</v>
      </c>
      <c r="AC9" s="11">
        <f t="shared" si="0"/>
        <v>141</v>
      </c>
      <c r="AD9" s="11">
        <f t="shared" si="1"/>
        <v>114</v>
      </c>
      <c r="AE9" s="11">
        <f t="shared" si="2"/>
        <v>22625</v>
      </c>
      <c r="AF9" s="11">
        <f t="shared" si="3"/>
        <v>5400</v>
      </c>
      <c r="AG9" s="11">
        <f t="shared" si="4"/>
        <v>109.1</v>
      </c>
      <c r="AH9" s="11">
        <f t="shared" si="5"/>
        <v>68.900000000000006</v>
      </c>
      <c r="AJ9" s="40" t="s">
        <v>53</v>
      </c>
      <c r="AK9">
        <v>90</v>
      </c>
      <c r="AL9">
        <v>60</v>
      </c>
      <c r="AM9">
        <v>5572</v>
      </c>
      <c r="AN9">
        <v>4250</v>
      </c>
      <c r="AO9">
        <v>93.1</v>
      </c>
      <c r="AP9">
        <v>63.6</v>
      </c>
      <c r="AY9" s="40" t="s">
        <v>16</v>
      </c>
      <c r="AZ9" s="2">
        <v>114</v>
      </c>
    </row>
    <row r="10" spans="1:52" ht="15.75" x14ac:dyDescent="0.25">
      <c r="A10" s="4" t="s">
        <v>30</v>
      </c>
      <c r="B10" s="2">
        <v>95</v>
      </c>
      <c r="C10" s="5" t="s">
        <v>53</v>
      </c>
      <c r="D10" s="1" t="s">
        <v>36</v>
      </c>
      <c r="E10" s="5" t="s">
        <v>22</v>
      </c>
      <c r="F10" s="1" t="s">
        <v>8</v>
      </c>
      <c r="G10" s="5" t="s">
        <v>16</v>
      </c>
      <c r="H10" s="1" t="s">
        <v>5</v>
      </c>
      <c r="I10" s="5" t="s">
        <v>6</v>
      </c>
      <c r="J10" s="2">
        <v>109.1</v>
      </c>
      <c r="K10" s="4">
        <v>188.8</v>
      </c>
      <c r="L10" s="2">
        <v>68.900000000000006</v>
      </c>
      <c r="M10" s="4">
        <v>55.5</v>
      </c>
      <c r="N10" s="2">
        <v>3217</v>
      </c>
      <c r="O10" s="5" t="s">
        <v>18</v>
      </c>
      <c r="P10" s="1" t="s">
        <v>13</v>
      </c>
      <c r="Q10" s="4">
        <v>145</v>
      </c>
      <c r="R10" s="1" t="s">
        <v>37</v>
      </c>
      <c r="S10" s="4">
        <v>3.01</v>
      </c>
      <c r="T10" s="2">
        <v>3.4</v>
      </c>
      <c r="U10" s="4">
        <v>23</v>
      </c>
      <c r="V10" s="2">
        <v>106</v>
      </c>
      <c r="W10" s="4">
        <v>4800</v>
      </c>
      <c r="X10" s="2">
        <v>26</v>
      </c>
      <c r="Y10" s="4">
        <v>27</v>
      </c>
      <c r="Z10" s="2">
        <v>22470</v>
      </c>
      <c r="AC10" s="11">
        <f t="shared" si="0"/>
        <v>145</v>
      </c>
      <c r="AD10" s="11">
        <f t="shared" si="1"/>
        <v>106</v>
      </c>
      <c r="AE10" s="11">
        <f t="shared" si="2"/>
        <v>22470</v>
      </c>
      <c r="AF10" s="11">
        <f t="shared" si="3"/>
        <v>4800</v>
      </c>
      <c r="AG10" s="11">
        <f t="shared" si="4"/>
        <v>109.1</v>
      </c>
      <c r="AH10" s="11">
        <f t="shared" si="5"/>
        <v>68.900000000000006</v>
      </c>
      <c r="AJ10" s="40" t="s">
        <v>53</v>
      </c>
      <c r="AK10">
        <v>90</v>
      </c>
      <c r="AL10">
        <v>62</v>
      </c>
      <c r="AM10">
        <v>5572</v>
      </c>
      <c r="AN10">
        <v>4250</v>
      </c>
      <c r="AO10">
        <v>93.1</v>
      </c>
      <c r="AP10">
        <v>63.6</v>
      </c>
      <c r="AY10" s="40" t="s">
        <v>16</v>
      </c>
      <c r="AZ10" s="2">
        <v>106</v>
      </c>
    </row>
    <row r="11" spans="1:52" ht="15.75" x14ac:dyDescent="0.25">
      <c r="A11" s="4" t="s">
        <v>0</v>
      </c>
      <c r="B11" s="2">
        <v>186</v>
      </c>
      <c r="C11" s="5" t="s">
        <v>46</v>
      </c>
      <c r="D11" s="1" t="s">
        <v>1</v>
      </c>
      <c r="E11" s="5" t="s">
        <v>2</v>
      </c>
      <c r="F11" s="1" t="s">
        <v>3</v>
      </c>
      <c r="G11" s="5" t="s">
        <v>11</v>
      </c>
      <c r="H11" s="1" t="s">
        <v>5</v>
      </c>
      <c r="I11" s="5" t="s">
        <v>6</v>
      </c>
      <c r="J11" s="2">
        <v>94.5</v>
      </c>
      <c r="K11" s="4">
        <v>168.9</v>
      </c>
      <c r="L11" s="2">
        <v>68.3</v>
      </c>
      <c r="M11" s="4">
        <v>50.2</v>
      </c>
      <c r="N11" s="2">
        <v>2778</v>
      </c>
      <c r="O11" s="5" t="s">
        <v>18</v>
      </c>
      <c r="P11" s="1" t="s">
        <v>8</v>
      </c>
      <c r="Q11" s="4">
        <v>151</v>
      </c>
      <c r="R11" s="1" t="s">
        <v>9</v>
      </c>
      <c r="S11" s="4">
        <v>3.94</v>
      </c>
      <c r="T11" s="2">
        <v>3.11</v>
      </c>
      <c r="U11" s="4">
        <v>9.5</v>
      </c>
      <c r="V11" s="2">
        <v>143</v>
      </c>
      <c r="W11" s="4">
        <v>5500</v>
      </c>
      <c r="X11" s="2">
        <v>19</v>
      </c>
      <c r="Y11" s="4">
        <v>27</v>
      </c>
      <c r="Z11" s="2">
        <v>22018</v>
      </c>
      <c r="AC11" s="11">
        <f t="shared" si="0"/>
        <v>151</v>
      </c>
      <c r="AD11" s="11">
        <f t="shared" si="1"/>
        <v>143</v>
      </c>
      <c r="AE11" s="11">
        <f t="shared" si="2"/>
        <v>22018</v>
      </c>
      <c r="AF11" s="11">
        <f t="shared" si="3"/>
        <v>5500</v>
      </c>
      <c r="AG11" s="11">
        <f t="shared" si="4"/>
        <v>94.5</v>
      </c>
      <c r="AH11" s="11">
        <f t="shared" si="5"/>
        <v>68.3</v>
      </c>
      <c r="AJ11" s="40" t="s">
        <v>46</v>
      </c>
      <c r="AK11">
        <v>90</v>
      </c>
      <c r="AL11">
        <v>62</v>
      </c>
      <c r="AM11">
        <v>6095</v>
      </c>
      <c r="AN11">
        <v>4350</v>
      </c>
      <c r="AO11">
        <v>93.1</v>
      </c>
      <c r="AP11">
        <v>63.6</v>
      </c>
      <c r="AY11" s="40" t="s">
        <v>11</v>
      </c>
      <c r="AZ11" s="2">
        <v>143</v>
      </c>
    </row>
    <row r="12" spans="1:52" ht="15.75" x14ac:dyDescent="0.25">
      <c r="A12" s="4" t="s">
        <v>30</v>
      </c>
      <c r="B12" s="2">
        <v>95</v>
      </c>
      <c r="C12" s="5" t="s">
        <v>53</v>
      </c>
      <c r="D12" s="1" t="s">
        <v>1</v>
      </c>
      <c r="E12" s="5" t="s">
        <v>2</v>
      </c>
      <c r="F12" s="1" t="s">
        <v>8</v>
      </c>
      <c r="G12" s="5" t="s">
        <v>16</v>
      </c>
      <c r="H12" s="1" t="s">
        <v>5</v>
      </c>
      <c r="I12" s="5" t="s">
        <v>6</v>
      </c>
      <c r="J12" s="2">
        <v>109.1</v>
      </c>
      <c r="K12" s="4">
        <v>188.8</v>
      </c>
      <c r="L12" s="2">
        <v>68.900000000000006</v>
      </c>
      <c r="M12" s="4">
        <v>55.5</v>
      </c>
      <c r="N12" s="2">
        <v>3012</v>
      </c>
      <c r="O12" s="5" t="s">
        <v>12</v>
      </c>
      <c r="P12" s="1" t="s">
        <v>13</v>
      </c>
      <c r="Q12" s="4">
        <v>173</v>
      </c>
      <c r="R12" s="1" t="s">
        <v>9</v>
      </c>
      <c r="S12" s="4">
        <v>3.58</v>
      </c>
      <c r="T12" s="2">
        <v>2.87</v>
      </c>
      <c r="U12" s="4">
        <v>8.8000000000000007</v>
      </c>
      <c r="V12" s="2">
        <v>134</v>
      </c>
      <c r="W12" s="4">
        <v>5500</v>
      </c>
      <c r="X12" s="2">
        <v>18</v>
      </c>
      <c r="Y12" s="4">
        <v>23</v>
      </c>
      <c r="Z12" s="2">
        <v>21485</v>
      </c>
      <c r="AC12" s="11">
        <f t="shared" si="0"/>
        <v>173</v>
      </c>
      <c r="AD12" s="11">
        <f t="shared" si="1"/>
        <v>134</v>
      </c>
      <c r="AE12" s="11">
        <f t="shared" si="2"/>
        <v>21485</v>
      </c>
      <c r="AF12" s="11">
        <f t="shared" si="3"/>
        <v>5500</v>
      </c>
      <c r="AG12" s="11">
        <f t="shared" si="4"/>
        <v>109.1</v>
      </c>
      <c r="AH12" s="11">
        <f t="shared" si="5"/>
        <v>68.900000000000006</v>
      </c>
      <c r="AJ12" s="40" t="s">
        <v>53</v>
      </c>
      <c r="AK12">
        <v>90</v>
      </c>
      <c r="AL12">
        <v>62</v>
      </c>
      <c r="AM12">
        <v>6189</v>
      </c>
      <c r="AN12">
        <v>4350</v>
      </c>
      <c r="AO12">
        <v>93.1</v>
      </c>
      <c r="AP12">
        <v>63.6</v>
      </c>
      <c r="AY12" s="40" t="s">
        <v>16</v>
      </c>
      <c r="AZ12" s="2">
        <v>134</v>
      </c>
    </row>
    <row r="13" spans="1:52" ht="15.75" x14ac:dyDescent="0.25">
      <c r="A13" s="4" t="s">
        <v>23</v>
      </c>
      <c r="B13" s="2">
        <v>188</v>
      </c>
      <c r="C13" s="5" t="s">
        <v>24</v>
      </c>
      <c r="D13" s="1" t="s">
        <v>1</v>
      </c>
      <c r="E13" s="5" t="s">
        <v>2</v>
      </c>
      <c r="F13" s="1" t="s">
        <v>8</v>
      </c>
      <c r="G13" s="5" t="s">
        <v>16</v>
      </c>
      <c r="H13" s="1" t="s">
        <v>5</v>
      </c>
      <c r="I13" s="5" t="s">
        <v>6</v>
      </c>
      <c r="J13" s="2">
        <v>101.2</v>
      </c>
      <c r="K13" s="4">
        <v>176.8</v>
      </c>
      <c r="L13" s="2">
        <v>64.8</v>
      </c>
      <c r="M13" s="4">
        <v>54.3</v>
      </c>
      <c r="N13" s="2">
        <v>2765</v>
      </c>
      <c r="O13" s="5" t="s">
        <v>18</v>
      </c>
      <c r="P13" s="1" t="s">
        <v>13</v>
      </c>
      <c r="Q13" s="4">
        <v>164</v>
      </c>
      <c r="R13" s="1" t="s">
        <v>9</v>
      </c>
      <c r="S13" s="4">
        <v>3.31</v>
      </c>
      <c r="T13" s="2">
        <v>3.19</v>
      </c>
      <c r="U13" s="4">
        <v>9</v>
      </c>
      <c r="V13" s="2">
        <v>121</v>
      </c>
      <c r="W13" s="4">
        <v>4250</v>
      </c>
      <c r="X13" s="2">
        <v>21</v>
      </c>
      <c r="Y13" s="4">
        <v>28</v>
      </c>
      <c r="Z13" s="2">
        <v>21105</v>
      </c>
      <c r="AC13" s="11">
        <f t="shared" si="0"/>
        <v>164</v>
      </c>
      <c r="AD13" s="11">
        <f t="shared" si="1"/>
        <v>121</v>
      </c>
      <c r="AE13" s="11">
        <f t="shared" si="2"/>
        <v>21105</v>
      </c>
      <c r="AF13" s="11">
        <f t="shared" si="3"/>
        <v>4250</v>
      </c>
      <c r="AG13" s="11">
        <f t="shared" si="4"/>
        <v>101.2</v>
      </c>
      <c r="AH13" s="11">
        <f t="shared" si="5"/>
        <v>64.8</v>
      </c>
      <c r="AJ13" s="40" t="s">
        <v>24</v>
      </c>
      <c r="AK13">
        <v>90</v>
      </c>
      <c r="AL13">
        <v>62</v>
      </c>
      <c r="AM13">
        <v>6229</v>
      </c>
      <c r="AN13">
        <v>4350</v>
      </c>
      <c r="AO13">
        <v>93.3</v>
      </c>
      <c r="AP13">
        <v>63.6</v>
      </c>
      <c r="AY13" s="40" t="s">
        <v>16</v>
      </c>
      <c r="AZ13" s="2">
        <v>121</v>
      </c>
    </row>
    <row r="14" spans="1:52" ht="15.75" x14ac:dyDescent="0.25">
      <c r="A14" s="4" t="s">
        <v>23</v>
      </c>
      <c r="B14" s="2">
        <v>188</v>
      </c>
      <c r="C14" s="5" t="s">
        <v>24</v>
      </c>
      <c r="D14" s="1" t="s">
        <v>1</v>
      </c>
      <c r="E14" s="5" t="s">
        <v>2</v>
      </c>
      <c r="F14" s="1" t="s">
        <v>3</v>
      </c>
      <c r="G14" s="5" t="s">
        <v>16</v>
      </c>
      <c r="H14" s="1" t="s">
        <v>5</v>
      </c>
      <c r="I14" s="5" t="s">
        <v>6</v>
      </c>
      <c r="J14" s="2">
        <v>101.2</v>
      </c>
      <c r="K14" s="4">
        <v>176.8</v>
      </c>
      <c r="L14" s="2">
        <v>64.8</v>
      </c>
      <c r="M14" s="4">
        <v>54.3</v>
      </c>
      <c r="N14" s="2">
        <v>2710</v>
      </c>
      <c r="O14" s="5" t="s">
        <v>18</v>
      </c>
      <c r="P14" s="1" t="s">
        <v>13</v>
      </c>
      <c r="Q14" s="4">
        <v>164</v>
      </c>
      <c r="R14" s="1" t="s">
        <v>9</v>
      </c>
      <c r="S14" s="4">
        <v>3.31</v>
      </c>
      <c r="T14" s="2">
        <v>3.19</v>
      </c>
      <c r="U14" s="4">
        <v>9</v>
      </c>
      <c r="V14" s="2">
        <v>121</v>
      </c>
      <c r="W14" s="4">
        <v>4250</v>
      </c>
      <c r="X14" s="2">
        <v>21</v>
      </c>
      <c r="Y14" s="4">
        <v>28</v>
      </c>
      <c r="Z14" s="2">
        <v>20970</v>
      </c>
      <c r="AC14" s="11">
        <f t="shared" si="0"/>
        <v>164</v>
      </c>
      <c r="AD14" s="11">
        <f t="shared" si="1"/>
        <v>121</v>
      </c>
      <c r="AE14" s="11">
        <f t="shared" si="2"/>
        <v>20970</v>
      </c>
      <c r="AF14" s="11">
        <f t="shared" si="3"/>
        <v>4250</v>
      </c>
      <c r="AG14" s="11">
        <f t="shared" si="4"/>
        <v>101.2</v>
      </c>
      <c r="AH14" s="11">
        <f t="shared" si="5"/>
        <v>64.8</v>
      </c>
      <c r="AJ14" s="40" t="s">
        <v>24</v>
      </c>
      <c r="AK14">
        <v>91</v>
      </c>
      <c r="AL14">
        <v>62</v>
      </c>
      <c r="AM14">
        <v>6229</v>
      </c>
      <c r="AN14">
        <v>4350</v>
      </c>
      <c r="AO14">
        <v>93.7</v>
      </c>
      <c r="AP14">
        <v>63.8</v>
      </c>
      <c r="AY14" s="40" t="s">
        <v>16</v>
      </c>
      <c r="AZ14" s="2">
        <v>121</v>
      </c>
    </row>
    <row r="15" spans="1:52" ht="15.75" x14ac:dyDescent="0.25">
      <c r="A15" s="4" t="s">
        <v>0</v>
      </c>
      <c r="B15" s="2">
        <v>194</v>
      </c>
      <c r="C15" s="5" t="s">
        <v>43</v>
      </c>
      <c r="D15" s="1" t="s">
        <v>1</v>
      </c>
      <c r="E15" s="5" t="s">
        <v>22</v>
      </c>
      <c r="F15" s="1" t="s">
        <v>3</v>
      </c>
      <c r="G15" s="5" t="s">
        <v>11</v>
      </c>
      <c r="H15" s="1" t="s">
        <v>5</v>
      </c>
      <c r="I15" s="5" t="s">
        <v>6</v>
      </c>
      <c r="J15" s="2">
        <v>91.3</v>
      </c>
      <c r="K15" s="4">
        <v>170.7</v>
      </c>
      <c r="L15" s="2">
        <v>67.900000000000006</v>
      </c>
      <c r="M15" s="4">
        <v>49.7</v>
      </c>
      <c r="N15" s="2">
        <v>3139</v>
      </c>
      <c r="O15" s="5" t="s">
        <v>12</v>
      </c>
      <c r="P15" s="1" t="s">
        <v>13</v>
      </c>
      <c r="Q15" s="4">
        <v>181</v>
      </c>
      <c r="R15" s="1" t="s">
        <v>9</v>
      </c>
      <c r="S15" s="4">
        <v>3.43</v>
      </c>
      <c r="T15" s="2">
        <v>3.27</v>
      </c>
      <c r="U15" s="4">
        <v>7.8</v>
      </c>
      <c r="V15" s="2">
        <v>200</v>
      </c>
      <c r="W15" s="4">
        <v>5200</v>
      </c>
      <c r="X15" s="2">
        <v>17</v>
      </c>
      <c r="Y15" s="4">
        <v>23</v>
      </c>
      <c r="Z15" s="2">
        <v>19699</v>
      </c>
      <c r="AC15" s="11">
        <f t="shared" si="0"/>
        <v>181</v>
      </c>
      <c r="AD15" s="11">
        <f t="shared" si="1"/>
        <v>200</v>
      </c>
      <c r="AE15" s="11">
        <f t="shared" si="2"/>
        <v>19699</v>
      </c>
      <c r="AF15" s="11">
        <f t="shared" si="3"/>
        <v>5200</v>
      </c>
      <c r="AG15" s="11">
        <f t="shared" si="4"/>
        <v>91.3</v>
      </c>
      <c r="AH15" s="11">
        <f t="shared" si="5"/>
        <v>67.900000000000006</v>
      </c>
      <c r="AJ15" s="40" t="s">
        <v>43</v>
      </c>
      <c r="AK15">
        <v>91</v>
      </c>
      <c r="AL15">
        <v>62</v>
      </c>
      <c r="AM15">
        <v>6295</v>
      </c>
      <c r="AN15">
        <v>4400</v>
      </c>
      <c r="AO15">
        <v>93.7</v>
      </c>
      <c r="AP15">
        <v>63.8</v>
      </c>
      <c r="AY15" s="40" t="s">
        <v>11</v>
      </c>
      <c r="AZ15" s="2">
        <v>200</v>
      </c>
    </row>
    <row r="16" spans="1:52" ht="15.75" x14ac:dyDescent="0.25">
      <c r="A16" s="4" t="s">
        <v>30</v>
      </c>
      <c r="B16" s="2">
        <v>95</v>
      </c>
      <c r="C16" s="5" t="s">
        <v>53</v>
      </c>
      <c r="D16" s="1" t="s">
        <v>1</v>
      </c>
      <c r="E16" s="5" t="s">
        <v>22</v>
      </c>
      <c r="F16" s="1" t="s">
        <v>8</v>
      </c>
      <c r="G16" s="5" t="s">
        <v>16</v>
      </c>
      <c r="H16" s="1" t="s">
        <v>5</v>
      </c>
      <c r="I16" s="5" t="s">
        <v>6</v>
      </c>
      <c r="J16" s="2">
        <v>109.1</v>
      </c>
      <c r="K16" s="4">
        <v>188.8</v>
      </c>
      <c r="L16" s="2">
        <v>68.8</v>
      </c>
      <c r="M16" s="4">
        <v>55.5</v>
      </c>
      <c r="N16" s="2">
        <v>3049</v>
      </c>
      <c r="O16" s="5" t="s">
        <v>18</v>
      </c>
      <c r="P16" s="1" t="s">
        <v>8</v>
      </c>
      <c r="Q16" s="4">
        <v>141</v>
      </c>
      <c r="R16" s="1" t="s">
        <v>9</v>
      </c>
      <c r="S16" s="4">
        <v>3.78</v>
      </c>
      <c r="T16" s="2">
        <v>3.15</v>
      </c>
      <c r="U16" s="4">
        <v>8.6999999999999993</v>
      </c>
      <c r="V16" s="2">
        <v>160</v>
      </c>
      <c r="W16" s="4">
        <v>5300</v>
      </c>
      <c r="X16" s="2">
        <v>19</v>
      </c>
      <c r="Y16" s="4">
        <v>25</v>
      </c>
      <c r="Z16" s="2">
        <v>19045</v>
      </c>
      <c r="AC16" s="11">
        <f t="shared" si="0"/>
        <v>141</v>
      </c>
      <c r="AD16" s="11">
        <f t="shared" si="1"/>
        <v>160</v>
      </c>
      <c r="AE16" s="11">
        <f t="shared" si="2"/>
        <v>19045</v>
      </c>
      <c r="AF16" s="11">
        <f t="shared" si="3"/>
        <v>5300</v>
      </c>
      <c r="AG16" s="11">
        <f t="shared" si="4"/>
        <v>109.1</v>
      </c>
      <c r="AH16" s="11">
        <f t="shared" si="5"/>
        <v>68.8</v>
      </c>
      <c r="AJ16" s="40" t="s">
        <v>53</v>
      </c>
      <c r="AK16">
        <v>91</v>
      </c>
      <c r="AL16">
        <v>68</v>
      </c>
      <c r="AM16">
        <v>6338</v>
      </c>
      <c r="AN16">
        <v>4400</v>
      </c>
      <c r="AO16">
        <v>93.7</v>
      </c>
      <c r="AP16">
        <v>63.8</v>
      </c>
      <c r="AY16" s="40" t="s">
        <v>16</v>
      </c>
      <c r="AZ16" s="2">
        <v>160</v>
      </c>
    </row>
    <row r="17" spans="1:52" ht="15.75" x14ac:dyDescent="0.25">
      <c r="A17" s="4" t="s">
        <v>30</v>
      </c>
      <c r="B17" s="2">
        <v>74</v>
      </c>
      <c r="C17" s="5" t="s">
        <v>53</v>
      </c>
      <c r="D17" s="1" t="s">
        <v>1</v>
      </c>
      <c r="E17" s="5" t="s">
        <v>22</v>
      </c>
      <c r="F17" s="1" t="s">
        <v>8</v>
      </c>
      <c r="G17" s="5" t="s">
        <v>21</v>
      </c>
      <c r="H17" s="1" t="s">
        <v>5</v>
      </c>
      <c r="I17" s="5" t="s">
        <v>6</v>
      </c>
      <c r="J17" s="2">
        <v>104.3</v>
      </c>
      <c r="K17" s="4">
        <v>188.8</v>
      </c>
      <c r="L17" s="2">
        <v>67.2</v>
      </c>
      <c r="M17" s="4">
        <v>57.5</v>
      </c>
      <c r="N17" s="2">
        <v>3157</v>
      </c>
      <c r="O17" s="5" t="s">
        <v>18</v>
      </c>
      <c r="P17" s="1" t="s">
        <v>8</v>
      </c>
      <c r="Q17" s="4">
        <v>130</v>
      </c>
      <c r="R17" s="1" t="s">
        <v>9</v>
      </c>
      <c r="S17" s="4">
        <v>3.62</v>
      </c>
      <c r="T17" s="2">
        <v>3.15</v>
      </c>
      <c r="U17" s="4">
        <v>7.5</v>
      </c>
      <c r="V17" s="2">
        <v>162</v>
      </c>
      <c r="W17" s="4">
        <v>5100</v>
      </c>
      <c r="X17" s="2">
        <v>17</v>
      </c>
      <c r="Y17" s="4">
        <v>22</v>
      </c>
      <c r="Z17" s="2">
        <v>18950</v>
      </c>
      <c r="AC17" s="11">
        <f t="shared" si="0"/>
        <v>130</v>
      </c>
      <c r="AD17" s="11">
        <f t="shared" si="1"/>
        <v>162</v>
      </c>
      <c r="AE17" s="11">
        <f t="shared" si="2"/>
        <v>18950</v>
      </c>
      <c r="AF17" s="11">
        <f t="shared" si="3"/>
        <v>5100</v>
      </c>
      <c r="AG17" s="11">
        <f t="shared" si="4"/>
        <v>104.3</v>
      </c>
      <c r="AH17" s="11">
        <f t="shared" si="5"/>
        <v>67.2</v>
      </c>
      <c r="AJ17" s="40" t="s">
        <v>53</v>
      </c>
      <c r="AK17">
        <v>91</v>
      </c>
      <c r="AL17">
        <v>68</v>
      </c>
      <c r="AM17">
        <v>6377</v>
      </c>
      <c r="AN17">
        <v>4400</v>
      </c>
      <c r="AO17">
        <v>93.7</v>
      </c>
      <c r="AP17">
        <v>63.8</v>
      </c>
      <c r="AY17" s="40" t="s">
        <v>21</v>
      </c>
      <c r="AZ17" s="2">
        <v>162</v>
      </c>
    </row>
    <row r="18" spans="1:52" ht="15.75" x14ac:dyDescent="0.25">
      <c r="A18" s="4" t="s">
        <v>14</v>
      </c>
      <c r="B18" s="2">
        <v>104</v>
      </c>
      <c r="C18" s="5" t="s">
        <v>48</v>
      </c>
      <c r="D18" s="1" t="s">
        <v>1</v>
      </c>
      <c r="E18" s="5" t="s">
        <v>22</v>
      </c>
      <c r="F18" s="1" t="s">
        <v>8</v>
      </c>
      <c r="G18" s="5" t="s">
        <v>16</v>
      </c>
      <c r="H18" s="1" t="s">
        <v>17</v>
      </c>
      <c r="I18" s="5" t="s">
        <v>6</v>
      </c>
      <c r="J18" s="2">
        <v>99.1</v>
      </c>
      <c r="K18" s="4">
        <v>186.6</v>
      </c>
      <c r="L18" s="2">
        <v>66.5</v>
      </c>
      <c r="M18" s="4">
        <v>56.1</v>
      </c>
      <c r="N18" s="2">
        <v>2847</v>
      </c>
      <c r="O18" s="5" t="s">
        <v>7</v>
      </c>
      <c r="P18" s="1" t="s">
        <v>8</v>
      </c>
      <c r="Q18" s="4">
        <v>121</v>
      </c>
      <c r="R18" s="1" t="s">
        <v>9</v>
      </c>
      <c r="S18" s="4">
        <v>3.54</v>
      </c>
      <c r="T18" s="2">
        <v>3.07</v>
      </c>
      <c r="U18" s="4">
        <v>9</v>
      </c>
      <c r="V18" s="2">
        <v>160</v>
      </c>
      <c r="W18" s="4">
        <v>5500</v>
      </c>
      <c r="X18" s="2">
        <v>19</v>
      </c>
      <c r="Y18" s="4">
        <v>26</v>
      </c>
      <c r="Z18" s="2">
        <v>18620</v>
      </c>
      <c r="AC18" s="11">
        <f t="shared" si="0"/>
        <v>121</v>
      </c>
      <c r="AD18" s="11">
        <f t="shared" si="1"/>
        <v>160</v>
      </c>
      <c r="AE18" s="11">
        <f t="shared" si="2"/>
        <v>18620</v>
      </c>
      <c r="AF18" s="11">
        <f t="shared" si="3"/>
        <v>5500</v>
      </c>
      <c r="AG18" s="11">
        <f t="shared" si="4"/>
        <v>99.1</v>
      </c>
      <c r="AH18" s="11">
        <f t="shared" si="5"/>
        <v>66.5</v>
      </c>
      <c r="AJ18" s="40" t="s">
        <v>48</v>
      </c>
      <c r="AK18">
        <v>91</v>
      </c>
      <c r="AL18">
        <v>68</v>
      </c>
      <c r="AM18">
        <v>6479</v>
      </c>
      <c r="AN18">
        <v>4500</v>
      </c>
      <c r="AO18">
        <v>93.7</v>
      </c>
      <c r="AP18">
        <v>63.8</v>
      </c>
      <c r="AY18" s="40" t="s">
        <v>16</v>
      </c>
      <c r="AZ18" s="2">
        <v>160</v>
      </c>
    </row>
    <row r="19" spans="1:52" ht="15.75" x14ac:dyDescent="0.25">
      <c r="A19" s="4" t="s">
        <v>52</v>
      </c>
      <c r="B19" s="2">
        <v>103</v>
      </c>
      <c r="C19" s="5" t="s">
        <v>53</v>
      </c>
      <c r="D19" s="1" t="s">
        <v>1</v>
      </c>
      <c r="E19" s="5" t="s">
        <v>22</v>
      </c>
      <c r="F19" s="1" t="s">
        <v>8</v>
      </c>
      <c r="G19" s="5" t="s">
        <v>16</v>
      </c>
      <c r="H19" s="1" t="s">
        <v>5</v>
      </c>
      <c r="I19" s="5" t="s">
        <v>6</v>
      </c>
      <c r="J19" s="2">
        <v>104.3</v>
      </c>
      <c r="K19" s="4">
        <v>188.8</v>
      </c>
      <c r="L19" s="2">
        <v>67.2</v>
      </c>
      <c r="M19" s="4">
        <v>56.2</v>
      </c>
      <c r="N19" s="2">
        <v>3045</v>
      </c>
      <c r="O19" s="5" t="s">
        <v>18</v>
      </c>
      <c r="P19" s="1" t="s">
        <v>8</v>
      </c>
      <c r="Q19" s="4">
        <v>130</v>
      </c>
      <c r="R19" s="1" t="s">
        <v>9</v>
      </c>
      <c r="S19" s="4">
        <v>3.62</v>
      </c>
      <c r="T19" s="2">
        <v>3.15</v>
      </c>
      <c r="U19" s="4">
        <v>7.5</v>
      </c>
      <c r="V19" s="2">
        <v>162</v>
      </c>
      <c r="W19" s="4">
        <v>5100</v>
      </c>
      <c r="X19" s="2">
        <v>17</v>
      </c>
      <c r="Y19" s="4">
        <v>22</v>
      </c>
      <c r="Z19" s="2">
        <v>18420</v>
      </c>
      <c r="AC19" s="11">
        <f t="shared" si="0"/>
        <v>130</v>
      </c>
      <c r="AD19" s="11">
        <f t="shared" si="1"/>
        <v>162</v>
      </c>
      <c r="AE19" s="11">
        <f t="shared" si="2"/>
        <v>18420</v>
      </c>
      <c r="AF19" s="11">
        <f t="shared" si="3"/>
        <v>5100</v>
      </c>
      <c r="AG19" s="11">
        <f t="shared" si="4"/>
        <v>104.3</v>
      </c>
      <c r="AH19" s="11">
        <f t="shared" si="5"/>
        <v>67.2</v>
      </c>
      <c r="AJ19" s="40" t="s">
        <v>53</v>
      </c>
      <c r="AK19">
        <v>92</v>
      </c>
      <c r="AL19">
        <v>68</v>
      </c>
      <c r="AM19">
        <v>6488</v>
      </c>
      <c r="AN19">
        <v>4500</v>
      </c>
      <c r="AO19">
        <v>93.7</v>
      </c>
      <c r="AP19">
        <v>63.8</v>
      </c>
      <c r="AY19" s="40" t="s">
        <v>16</v>
      </c>
      <c r="AZ19" s="2">
        <v>162</v>
      </c>
    </row>
    <row r="20" spans="1:52" ht="15.75" x14ac:dyDescent="0.25">
      <c r="A20" s="4" t="s">
        <v>10</v>
      </c>
      <c r="B20" s="2">
        <v>231</v>
      </c>
      <c r="C20" s="5" t="s">
        <v>43</v>
      </c>
      <c r="D20" s="1" t="s">
        <v>1</v>
      </c>
      <c r="E20" s="5" t="s">
        <v>2</v>
      </c>
      <c r="F20" s="1" t="s">
        <v>3</v>
      </c>
      <c r="G20" s="5" t="s">
        <v>11</v>
      </c>
      <c r="H20" s="1" t="s">
        <v>5</v>
      </c>
      <c r="I20" s="5" t="s">
        <v>6</v>
      </c>
      <c r="J20" s="2">
        <v>99.2</v>
      </c>
      <c r="K20" s="4">
        <v>178.5</v>
      </c>
      <c r="L20" s="2">
        <v>67.900000000000006</v>
      </c>
      <c r="M20" s="4">
        <v>49.7</v>
      </c>
      <c r="N20" s="2">
        <v>3139</v>
      </c>
      <c r="O20" s="5" t="s">
        <v>12</v>
      </c>
      <c r="P20" s="1" t="s">
        <v>13</v>
      </c>
      <c r="Q20" s="4">
        <v>181</v>
      </c>
      <c r="R20" s="1" t="s">
        <v>9</v>
      </c>
      <c r="S20" s="4">
        <v>3.43</v>
      </c>
      <c r="T20" s="2">
        <v>3.27</v>
      </c>
      <c r="U20" s="4">
        <v>9</v>
      </c>
      <c r="V20" s="2">
        <v>160</v>
      </c>
      <c r="W20" s="4">
        <v>5200</v>
      </c>
      <c r="X20" s="2">
        <v>19</v>
      </c>
      <c r="Y20" s="4">
        <v>25</v>
      </c>
      <c r="Z20" s="2">
        <v>18399</v>
      </c>
      <c r="AC20" s="11">
        <f t="shared" si="0"/>
        <v>181</v>
      </c>
      <c r="AD20" s="11">
        <f t="shared" si="1"/>
        <v>160</v>
      </c>
      <c r="AE20" s="11">
        <f t="shared" si="2"/>
        <v>18399</v>
      </c>
      <c r="AF20" s="11">
        <f t="shared" si="3"/>
        <v>5200</v>
      </c>
      <c r="AG20" s="11">
        <f t="shared" si="4"/>
        <v>99.2</v>
      </c>
      <c r="AH20" s="11">
        <f t="shared" si="5"/>
        <v>67.900000000000006</v>
      </c>
      <c r="AJ20" s="40" t="s">
        <v>43</v>
      </c>
      <c r="AK20">
        <v>92</v>
      </c>
      <c r="AL20">
        <v>68</v>
      </c>
      <c r="AM20">
        <v>6529</v>
      </c>
      <c r="AN20">
        <v>4500</v>
      </c>
      <c r="AO20">
        <v>93.7</v>
      </c>
      <c r="AP20">
        <v>63.8</v>
      </c>
      <c r="AY20" s="40" t="s">
        <v>11</v>
      </c>
      <c r="AZ20" s="2">
        <v>160</v>
      </c>
    </row>
    <row r="21" spans="1:52" ht="15.75" x14ac:dyDescent="0.25">
      <c r="A21" s="4" t="s">
        <v>23</v>
      </c>
      <c r="B21" s="2">
        <v>118</v>
      </c>
      <c r="C21" s="5" t="s">
        <v>35</v>
      </c>
      <c r="D21" s="1" t="s">
        <v>1</v>
      </c>
      <c r="E21" s="5" t="s">
        <v>2</v>
      </c>
      <c r="F21" s="1" t="s">
        <v>8</v>
      </c>
      <c r="G21" s="5" t="s">
        <v>16</v>
      </c>
      <c r="H21" s="1" t="s">
        <v>5</v>
      </c>
      <c r="I21" s="5" t="s">
        <v>6</v>
      </c>
      <c r="J21" s="2">
        <v>104.9</v>
      </c>
      <c r="K21" s="4">
        <v>175</v>
      </c>
      <c r="L21" s="2">
        <v>66.099999999999994</v>
      </c>
      <c r="M21" s="4">
        <v>54.4</v>
      </c>
      <c r="N21" s="2">
        <v>2670</v>
      </c>
      <c r="O21" s="5" t="s">
        <v>18</v>
      </c>
      <c r="P21" s="1" t="s">
        <v>8</v>
      </c>
      <c r="Q21" s="4">
        <v>140</v>
      </c>
      <c r="R21" s="1" t="s">
        <v>9</v>
      </c>
      <c r="S21" s="4">
        <v>3.76</v>
      </c>
      <c r="T21" s="2">
        <v>3.16</v>
      </c>
      <c r="U21" s="4">
        <v>8</v>
      </c>
      <c r="V21" s="2">
        <v>120</v>
      </c>
      <c r="W21" s="4">
        <v>5000</v>
      </c>
      <c r="X21" s="2">
        <v>19</v>
      </c>
      <c r="Y21" s="4">
        <v>27</v>
      </c>
      <c r="Z21" s="2">
        <v>18280</v>
      </c>
      <c r="AC21" s="11">
        <f t="shared" si="0"/>
        <v>140</v>
      </c>
      <c r="AD21" s="11">
        <f t="shared" si="1"/>
        <v>120</v>
      </c>
      <c r="AE21" s="11">
        <f t="shared" si="2"/>
        <v>18280</v>
      </c>
      <c r="AF21" s="11">
        <f t="shared" si="3"/>
        <v>5000</v>
      </c>
      <c r="AG21" s="11">
        <f t="shared" si="4"/>
        <v>104.9</v>
      </c>
      <c r="AH21" s="11">
        <f t="shared" si="5"/>
        <v>66.099999999999994</v>
      </c>
      <c r="AJ21" s="40" t="s">
        <v>35</v>
      </c>
      <c r="AK21">
        <v>92</v>
      </c>
      <c r="AL21">
        <v>68</v>
      </c>
      <c r="AM21">
        <v>6575</v>
      </c>
      <c r="AN21">
        <v>4500</v>
      </c>
      <c r="AO21">
        <v>93.7</v>
      </c>
      <c r="AP21">
        <v>63.8</v>
      </c>
      <c r="AY21" s="40" t="s">
        <v>16</v>
      </c>
      <c r="AZ21" s="2">
        <v>120</v>
      </c>
    </row>
    <row r="22" spans="1:52" ht="15.75" x14ac:dyDescent="0.25">
      <c r="A22" s="4" t="s">
        <v>23</v>
      </c>
      <c r="B22" s="2">
        <v>161</v>
      </c>
      <c r="C22" s="5" t="s">
        <v>44</v>
      </c>
      <c r="D22" s="1" t="s">
        <v>1</v>
      </c>
      <c r="E22" s="5" t="s">
        <v>22</v>
      </c>
      <c r="F22" s="1" t="s">
        <v>8</v>
      </c>
      <c r="G22" s="5" t="s">
        <v>16</v>
      </c>
      <c r="H22" s="1" t="s">
        <v>5</v>
      </c>
      <c r="I22" s="5" t="s">
        <v>6</v>
      </c>
      <c r="J22" s="2">
        <v>108</v>
      </c>
      <c r="K22" s="4">
        <v>186.7</v>
      </c>
      <c r="L22" s="2">
        <v>68.3</v>
      </c>
      <c r="M22" s="4">
        <v>56</v>
      </c>
      <c r="N22" s="2">
        <v>3130</v>
      </c>
      <c r="O22" s="5" t="s">
        <v>26</v>
      </c>
      <c r="P22" s="1" t="s">
        <v>8</v>
      </c>
      <c r="Q22" s="4">
        <v>134</v>
      </c>
      <c r="R22" s="1" t="s">
        <v>9</v>
      </c>
      <c r="S22" s="4">
        <v>3.61</v>
      </c>
      <c r="T22" s="2">
        <v>3.21</v>
      </c>
      <c r="U22" s="4">
        <v>7</v>
      </c>
      <c r="V22" s="2">
        <v>142</v>
      </c>
      <c r="W22" s="4">
        <v>5600</v>
      </c>
      <c r="X22" s="2">
        <v>18</v>
      </c>
      <c r="Y22" s="4">
        <v>24</v>
      </c>
      <c r="Z22" s="2">
        <v>18150</v>
      </c>
      <c r="AC22" s="11">
        <f t="shared" si="0"/>
        <v>134</v>
      </c>
      <c r="AD22" s="11">
        <f t="shared" si="1"/>
        <v>142</v>
      </c>
      <c r="AE22" s="11">
        <f t="shared" si="2"/>
        <v>18150</v>
      </c>
      <c r="AF22" s="11">
        <f t="shared" si="3"/>
        <v>5600</v>
      </c>
      <c r="AG22" s="11">
        <f t="shared" si="4"/>
        <v>108</v>
      </c>
      <c r="AH22" s="11">
        <f t="shared" si="5"/>
        <v>68.3</v>
      </c>
      <c r="AJ22" s="40" t="s">
        <v>44</v>
      </c>
      <c r="AK22">
        <v>92</v>
      </c>
      <c r="AL22">
        <v>68</v>
      </c>
      <c r="AM22">
        <v>6649</v>
      </c>
      <c r="AN22">
        <v>4750</v>
      </c>
      <c r="AO22">
        <v>93.7</v>
      </c>
      <c r="AP22">
        <v>63.8</v>
      </c>
      <c r="AY22" s="40" t="s">
        <v>16</v>
      </c>
      <c r="AZ22" s="2">
        <v>142</v>
      </c>
    </row>
    <row r="23" spans="1:52" ht="15.75" x14ac:dyDescent="0.25">
      <c r="A23" s="4" t="s">
        <v>0</v>
      </c>
      <c r="B23" s="2">
        <v>150</v>
      </c>
      <c r="C23" s="5" t="s">
        <v>48</v>
      </c>
      <c r="D23" s="1" t="s">
        <v>1</v>
      </c>
      <c r="E23" s="5" t="s">
        <v>22</v>
      </c>
      <c r="F23" s="1" t="s">
        <v>3</v>
      </c>
      <c r="G23" s="5" t="s">
        <v>11</v>
      </c>
      <c r="H23" s="1" t="s">
        <v>17</v>
      </c>
      <c r="I23" s="5" t="s">
        <v>6</v>
      </c>
      <c r="J23" s="2">
        <v>99.1</v>
      </c>
      <c r="K23" s="4">
        <v>186.6</v>
      </c>
      <c r="L23" s="2">
        <v>66.5</v>
      </c>
      <c r="M23" s="4">
        <v>56.1</v>
      </c>
      <c r="N23" s="2">
        <v>2808</v>
      </c>
      <c r="O23" s="5" t="s">
        <v>7</v>
      </c>
      <c r="P23" s="1" t="s">
        <v>8</v>
      </c>
      <c r="Q23" s="4">
        <v>121</v>
      </c>
      <c r="R23" s="1" t="s">
        <v>9</v>
      </c>
      <c r="S23" s="4">
        <v>3.54</v>
      </c>
      <c r="T23" s="2">
        <v>3.07</v>
      </c>
      <c r="U23" s="4">
        <v>9</v>
      </c>
      <c r="V23" s="2">
        <v>160</v>
      </c>
      <c r="W23" s="4">
        <v>5500</v>
      </c>
      <c r="X23" s="2">
        <v>19</v>
      </c>
      <c r="Y23" s="4">
        <v>26</v>
      </c>
      <c r="Z23" s="2">
        <v>18150</v>
      </c>
      <c r="AC23" s="11">
        <f t="shared" si="0"/>
        <v>121</v>
      </c>
      <c r="AD23" s="11">
        <f t="shared" si="1"/>
        <v>160</v>
      </c>
      <c r="AE23" s="11">
        <f t="shared" si="2"/>
        <v>18150</v>
      </c>
      <c r="AF23" s="11">
        <f t="shared" si="3"/>
        <v>5500</v>
      </c>
      <c r="AG23" s="11">
        <f t="shared" si="4"/>
        <v>99.1</v>
      </c>
      <c r="AH23" s="11">
        <f t="shared" si="5"/>
        <v>66.5</v>
      </c>
      <c r="AJ23" s="40" t="s">
        <v>48</v>
      </c>
      <c r="AK23">
        <v>92</v>
      </c>
      <c r="AL23">
        <v>68</v>
      </c>
      <c r="AM23">
        <v>6669</v>
      </c>
      <c r="AN23">
        <v>4750</v>
      </c>
      <c r="AO23">
        <v>93.7</v>
      </c>
      <c r="AP23">
        <v>63.8</v>
      </c>
      <c r="AY23" s="40" t="s">
        <v>11</v>
      </c>
      <c r="AZ23" s="2">
        <v>160</v>
      </c>
    </row>
    <row r="24" spans="1:52" ht="15.75" x14ac:dyDescent="0.25">
      <c r="A24" s="4" t="s">
        <v>23</v>
      </c>
      <c r="B24" s="2">
        <v>161</v>
      </c>
      <c r="C24" s="5" t="s">
        <v>44</v>
      </c>
      <c r="D24" s="1" t="s">
        <v>36</v>
      </c>
      <c r="E24" s="5" t="s">
        <v>22</v>
      </c>
      <c r="F24" s="1" t="s">
        <v>8</v>
      </c>
      <c r="G24" s="5" t="s">
        <v>16</v>
      </c>
      <c r="H24" s="1" t="s">
        <v>5</v>
      </c>
      <c r="I24" s="5" t="s">
        <v>6</v>
      </c>
      <c r="J24" s="2">
        <v>107.9</v>
      </c>
      <c r="K24" s="4">
        <v>186.7</v>
      </c>
      <c r="L24" s="2">
        <v>68.400000000000006</v>
      </c>
      <c r="M24" s="4">
        <v>56.7</v>
      </c>
      <c r="N24" s="2">
        <v>3252</v>
      </c>
      <c r="O24" s="5" t="s">
        <v>26</v>
      </c>
      <c r="P24" s="1" t="s">
        <v>8</v>
      </c>
      <c r="Q24" s="4">
        <v>152</v>
      </c>
      <c r="R24" s="1" t="s">
        <v>37</v>
      </c>
      <c r="S24" s="4">
        <v>3.7</v>
      </c>
      <c r="T24" s="2">
        <v>3.52</v>
      </c>
      <c r="U24" s="4">
        <v>21</v>
      </c>
      <c r="V24" s="2">
        <v>95</v>
      </c>
      <c r="W24" s="4">
        <v>4150</v>
      </c>
      <c r="X24" s="2">
        <v>28</v>
      </c>
      <c r="Y24" s="4">
        <v>33</v>
      </c>
      <c r="Z24" s="2">
        <v>17950</v>
      </c>
      <c r="AC24" s="11">
        <f t="shared" si="0"/>
        <v>152</v>
      </c>
      <c r="AD24" s="11">
        <f t="shared" si="1"/>
        <v>95</v>
      </c>
      <c r="AE24" s="11">
        <f t="shared" si="2"/>
        <v>17950</v>
      </c>
      <c r="AF24" s="11">
        <f t="shared" si="3"/>
        <v>4150</v>
      </c>
      <c r="AG24" s="11">
        <f t="shared" si="4"/>
        <v>107.9</v>
      </c>
      <c r="AH24" s="11">
        <f t="shared" si="5"/>
        <v>68.400000000000006</v>
      </c>
      <c r="AJ24" s="40" t="s">
        <v>44</v>
      </c>
      <c r="AK24">
        <v>92</v>
      </c>
      <c r="AL24">
        <v>68</v>
      </c>
      <c r="AM24">
        <v>6692</v>
      </c>
      <c r="AN24">
        <v>4800</v>
      </c>
      <c r="AO24">
        <v>93.7</v>
      </c>
      <c r="AP24">
        <v>63.8</v>
      </c>
      <c r="AY24" s="40" t="s">
        <v>16</v>
      </c>
      <c r="AZ24" s="2">
        <v>95</v>
      </c>
    </row>
    <row r="25" spans="1:52" ht="15.75" x14ac:dyDescent="0.25">
      <c r="A25" s="4" t="s">
        <v>10</v>
      </c>
      <c r="B25" s="2">
        <v>158</v>
      </c>
      <c r="C25" s="5" t="s">
        <v>15</v>
      </c>
      <c r="D25" s="1" t="s">
        <v>1</v>
      </c>
      <c r="E25" s="5" t="s">
        <v>2</v>
      </c>
      <c r="F25" s="1" t="s">
        <v>8</v>
      </c>
      <c r="G25" s="5" t="s">
        <v>16</v>
      </c>
      <c r="H25" s="1" t="s">
        <v>17</v>
      </c>
      <c r="I25" s="5" t="s">
        <v>6</v>
      </c>
      <c r="J25" s="2">
        <v>105.8</v>
      </c>
      <c r="K25" s="4">
        <v>192.7</v>
      </c>
      <c r="L25" s="2">
        <v>71.400000000000006</v>
      </c>
      <c r="M25" s="4">
        <v>55.7</v>
      </c>
      <c r="N25" s="2">
        <v>2844</v>
      </c>
      <c r="O25" s="5" t="s">
        <v>18</v>
      </c>
      <c r="P25" s="1" t="s">
        <v>20</v>
      </c>
      <c r="Q25" s="4">
        <v>136</v>
      </c>
      <c r="R25" s="1" t="s">
        <v>9</v>
      </c>
      <c r="S25" s="4">
        <v>3.19</v>
      </c>
      <c r="T25" s="2">
        <v>3.4</v>
      </c>
      <c r="U25" s="4">
        <v>8.5</v>
      </c>
      <c r="V25" s="2">
        <v>110</v>
      </c>
      <c r="W25" s="4">
        <v>5500</v>
      </c>
      <c r="X25" s="2">
        <v>19</v>
      </c>
      <c r="Y25" s="4">
        <v>25</v>
      </c>
      <c r="Z25" s="2">
        <v>17710</v>
      </c>
      <c r="AC25" s="11">
        <f t="shared" si="0"/>
        <v>136</v>
      </c>
      <c r="AD25" s="11">
        <f t="shared" si="1"/>
        <v>110</v>
      </c>
      <c r="AE25" s="11">
        <f t="shared" si="2"/>
        <v>17710</v>
      </c>
      <c r="AF25" s="11">
        <f t="shared" si="3"/>
        <v>5500</v>
      </c>
      <c r="AG25" s="11">
        <f t="shared" si="4"/>
        <v>105.8</v>
      </c>
      <c r="AH25" s="11">
        <f t="shared" si="5"/>
        <v>71.400000000000006</v>
      </c>
      <c r="AJ25" s="40" t="s">
        <v>15</v>
      </c>
      <c r="AK25">
        <v>92</v>
      </c>
      <c r="AL25">
        <v>68</v>
      </c>
      <c r="AM25">
        <v>6692</v>
      </c>
      <c r="AN25">
        <v>4800</v>
      </c>
      <c r="AO25">
        <v>93.7</v>
      </c>
      <c r="AP25">
        <v>63.8</v>
      </c>
      <c r="AY25" s="40" t="s">
        <v>16</v>
      </c>
      <c r="AZ25" s="2">
        <v>110</v>
      </c>
    </row>
    <row r="26" spans="1:52" ht="15.75" x14ac:dyDescent="0.25">
      <c r="A26" s="4" t="s">
        <v>14</v>
      </c>
      <c r="B26" s="2">
        <v>134</v>
      </c>
      <c r="C26" s="5" t="s">
        <v>50</v>
      </c>
      <c r="D26" s="1" t="s">
        <v>1</v>
      </c>
      <c r="E26" s="5" t="s">
        <v>2</v>
      </c>
      <c r="F26" s="1" t="s">
        <v>3</v>
      </c>
      <c r="G26" s="5" t="s">
        <v>4</v>
      </c>
      <c r="H26" s="1" t="s">
        <v>5</v>
      </c>
      <c r="I26" s="5" t="s">
        <v>6</v>
      </c>
      <c r="J26" s="2">
        <v>98.4</v>
      </c>
      <c r="K26" s="4">
        <v>176.2</v>
      </c>
      <c r="L26" s="2">
        <v>65.599999999999994</v>
      </c>
      <c r="M26" s="4">
        <v>53</v>
      </c>
      <c r="N26" s="2">
        <v>2975</v>
      </c>
      <c r="O26" s="5" t="s">
        <v>18</v>
      </c>
      <c r="P26" s="1" t="s">
        <v>8</v>
      </c>
      <c r="Q26" s="4">
        <v>146</v>
      </c>
      <c r="R26" s="1" t="s">
        <v>9</v>
      </c>
      <c r="S26" s="4">
        <v>3.62</v>
      </c>
      <c r="T26" s="2">
        <v>3.5</v>
      </c>
      <c r="U26" s="4">
        <v>9.3000000000000007</v>
      </c>
      <c r="V26" s="2">
        <v>116</v>
      </c>
      <c r="W26" s="4">
        <v>4800</v>
      </c>
      <c r="X26" s="2">
        <v>24</v>
      </c>
      <c r="Y26" s="4">
        <v>30</v>
      </c>
      <c r="Z26" s="2">
        <v>17669</v>
      </c>
      <c r="AC26" s="11">
        <f t="shared" si="0"/>
        <v>146</v>
      </c>
      <c r="AD26" s="11">
        <f t="shared" si="1"/>
        <v>116</v>
      </c>
      <c r="AE26" s="11">
        <f t="shared" si="2"/>
        <v>17669</v>
      </c>
      <c r="AF26" s="11">
        <f t="shared" si="3"/>
        <v>4800</v>
      </c>
      <c r="AG26" s="11">
        <f t="shared" si="4"/>
        <v>98.4</v>
      </c>
      <c r="AH26" s="11">
        <f t="shared" si="5"/>
        <v>65.599999999999994</v>
      </c>
      <c r="AJ26" s="40" t="s">
        <v>50</v>
      </c>
      <c r="AK26">
        <v>92</v>
      </c>
      <c r="AL26">
        <v>68</v>
      </c>
      <c r="AM26">
        <v>6695</v>
      </c>
      <c r="AN26">
        <v>4800</v>
      </c>
      <c r="AO26">
        <v>93.7</v>
      </c>
      <c r="AP26">
        <v>63.8</v>
      </c>
      <c r="AY26" s="40" t="s">
        <v>4</v>
      </c>
      <c r="AZ26" s="2">
        <v>116</v>
      </c>
    </row>
    <row r="27" spans="1:52" ht="15.75" x14ac:dyDescent="0.25">
      <c r="A27" s="4" t="s">
        <v>14</v>
      </c>
      <c r="B27" s="2">
        <v>164</v>
      </c>
      <c r="C27" s="5" t="s">
        <v>15</v>
      </c>
      <c r="D27" s="1" t="s">
        <v>1</v>
      </c>
      <c r="E27" s="5" t="s">
        <v>2</v>
      </c>
      <c r="F27" s="1" t="s">
        <v>8</v>
      </c>
      <c r="G27" s="5" t="s">
        <v>16</v>
      </c>
      <c r="H27" s="1" t="s">
        <v>19</v>
      </c>
      <c r="I27" s="5" t="s">
        <v>6</v>
      </c>
      <c r="J27" s="2">
        <v>99.4</v>
      </c>
      <c r="K27" s="4">
        <v>176.6</v>
      </c>
      <c r="L27" s="2">
        <v>66.400000000000006</v>
      </c>
      <c r="M27" s="4">
        <v>54.3</v>
      </c>
      <c r="N27" s="2">
        <v>2824</v>
      </c>
      <c r="O27" s="5" t="s">
        <v>18</v>
      </c>
      <c r="P27" s="1" t="s">
        <v>20</v>
      </c>
      <c r="Q27" s="4">
        <v>136</v>
      </c>
      <c r="R27" s="1" t="s">
        <v>9</v>
      </c>
      <c r="S27" s="4">
        <v>3.19</v>
      </c>
      <c r="T27" s="2">
        <v>3.4</v>
      </c>
      <c r="U27" s="4">
        <v>8</v>
      </c>
      <c r="V27" s="2">
        <v>115</v>
      </c>
      <c r="W27" s="4">
        <v>5500</v>
      </c>
      <c r="X27" s="2">
        <v>18</v>
      </c>
      <c r="Y27" s="4">
        <v>22</v>
      </c>
      <c r="Z27" s="2">
        <v>17450</v>
      </c>
      <c r="AC27" s="11">
        <f t="shared" si="0"/>
        <v>136</v>
      </c>
      <c r="AD27" s="11">
        <f t="shared" si="1"/>
        <v>115</v>
      </c>
      <c r="AE27" s="11">
        <f t="shared" si="2"/>
        <v>17450</v>
      </c>
      <c r="AF27" s="11">
        <f t="shared" si="3"/>
        <v>5500</v>
      </c>
      <c r="AG27" s="11">
        <f t="shared" si="4"/>
        <v>99.4</v>
      </c>
      <c r="AH27" s="11">
        <f t="shared" si="5"/>
        <v>66.400000000000006</v>
      </c>
      <c r="AJ27" s="40" t="s">
        <v>15</v>
      </c>
      <c r="AK27">
        <v>92</v>
      </c>
      <c r="AL27">
        <v>68</v>
      </c>
      <c r="AM27">
        <v>6795</v>
      </c>
      <c r="AN27">
        <v>4800</v>
      </c>
      <c r="AO27">
        <v>93.7</v>
      </c>
      <c r="AP27">
        <v>63.8</v>
      </c>
      <c r="AY27" s="40" t="s">
        <v>16</v>
      </c>
      <c r="AZ27" s="2">
        <v>115</v>
      </c>
    </row>
    <row r="28" spans="1:52" ht="15.75" x14ac:dyDescent="0.25">
      <c r="A28" s="4" t="s">
        <v>0</v>
      </c>
      <c r="B28" s="2">
        <v>194</v>
      </c>
      <c r="C28" s="5" t="s">
        <v>43</v>
      </c>
      <c r="D28" s="1" t="s">
        <v>1</v>
      </c>
      <c r="E28" s="5" t="s">
        <v>2</v>
      </c>
      <c r="F28" s="1" t="s">
        <v>3</v>
      </c>
      <c r="G28" s="5" t="s">
        <v>11</v>
      </c>
      <c r="H28" s="1" t="s">
        <v>5</v>
      </c>
      <c r="I28" s="5" t="s">
        <v>6</v>
      </c>
      <c r="J28" s="2">
        <v>91.3</v>
      </c>
      <c r="K28" s="4">
        <v>170.7</v>
      </c>
      <c r="L28" s="2">
        <v>67.900000000000006</v>
      </c>
      <c r="M28" s="4">
        <v>49.7</v>
      </c>
      <c r="N28" s="2">
        <v>3071</v>
      </c>
      <c r="O28" s="5" t="s">
        <v>12</v>
      </c>
      <c r="P28" s="1" t="s">
        <v>13</v>
      </c>
      <c r="Q28" s="4">
        <v>181</v>
      </c>
      <c r="R28" s="1" t="s">
        <v>9</v>
      </c>
      <c r="S28" s="4">
        <v>3.43</v>
      </c>
      <c r="T28" s="2">
        <v>3.27</v>
      </c>
      <c r="U28" s="4">
        <v>9</v>
      </c>
      <c r="V28" s="2">
        <v>160</v>
      </c>
      <c r="W28" s="4">
        <v>5200</v>
      </c>
      <c r="X28" s="2">
        <v>19</v>
      </c>
      <c r="Y28" s="4">
        <v>25</v>
      </c>
      <c r="Z28" s="2">
        <v>17199</v>
      </c>
      <c r="AC28" s="11">
        <f t="shared" si="0"/>
        <v>181</v>
      </c>
      <c r="AD28" s="11">
        <f t="shared" si="1"/>
        <v>160</v>
      </c>
      <c r="AE28" s="11">
        <f t="shared" si="2"/>
        <v>17199</v>
      </c>
      <c r="AF28" s="11">
        <f t="shared" si="3"/>
        <v>5200</v>
      </c>
      <c r="AG28" s="11">
        <f t="shared" si="4"/>
        <v>91.3</v>
      </c>
      <c r="AH28" s="11">
        <f t="shared" si="5"/>
        <v>67.900000000000006</v>
      </c>
      <c r="AJ28" s="40" t="s">
        <v>43</v>
      </c>
      <c r="AK28">
        <v>92</v>
      </c>
      <c r="AL28">
        <v>68</v>
      </c>
      <c r="AM28">
        <v>6849</v>
      </c>
      <c r="AN28">
        <v>4800</v>
      </c>
      <c r="AO28">
        <v>93.7</v>
      </c>
      <c r="AP28">
        <v>63.8</v>
      </c>
      <c r="AY28" s="40" t="s">
        <v>11</v>
      </c>
      <c r="AZ28" s="2">
        <v>160</v>
      </c>
    </row>
    <row r="29" spans="1:52" ht="15.75" x14ac:dyDescent="0.25">
      <c r="A29" s="4" t="s">
        <v>23</v>
      </c>
      <c r="B29" s="2">
        <v>192</v>
      </c>
      <c r="C29" s="5" t="s">
        <v>24</v>
      </c>
      <c r="D29" s="1" t="s">
        <v>1</v>
      </c>
      <c r="E29" s="5" t="s">
        <v>2</v>
      </c>
      <c r="F29" s="1" t="s">
        <v>8</v>
      </c>
      <c r="G29" s="5" t="s">
        <v>16</v>
      </c>
      <c r="H29" s="1" t="s">
        <v>5</v>
      </c>
      <c r="I29" s="5" t="s">
        <v>6</v>
      </c>
      <c r="J29" s="2">
        <v>101.2</v>
      </c>
      <c r="K29" s="4">
        <v>176.8</v>
      </c>
      <c r="L29" s="2">
        <v>64.8</v>
      </c>
      <c r="M29" s="4">
        <v>54.3</v>
      </c>
      <c r="N29" s="2">
        <v>2395</v>
      </c>
      <c r="O29" s="5" t="s">
        <v>18</v>
      </c>
      <c r="P29" s="1" t="s">
        <v>8</v>
      </c>
      <c r="Q29" s="4">
        <v>108</v>
      </c>
      <c r="R29" s="1" t="s">
        <v>9</v>
      </c>
      <c r="S29" s="4">
        <v>3.5</v>
      </c>
      <c r="T29" s="2">
        <v>2.8</v>
      </c>
      <c r="U29" s="4">
        <v>8.8000000000000007</v>
      </c>
      <c r="V29" s="2">
        <v>101</v>
      </c>
      <c r="W29" s="4">
        <v>5800</v>
      </c>
      <c r="X29" s="2">
        <v>23</v>
      </c>
      <c r="Y29" s="4">
        <v>29</v>
      </c>
      <c r="Z29" s="2">
        <v>16925</v>
      </c>
      <c r="AC29" s="11">
        <f t="shared" si="0"/>
        <v>108</v>
      </c>
      <c r="AD29" s="11">
        <f t="shared" si="1"/>
        <v>101</v>
      </c>
      <c r="AE29" s="11">
        <f t="shared" si="2"/>
        <v>16925</v>
      </c>
      <c r="AF29" s="11">
        <f t="shared" si="3"/>
        <v>5800</v>
      </c>
      <c r="AG29" s="11">
        <f t="shared" si="4"/>
        <v>101.2</v>
      </c>
      <c r="AH29" s="11">
        <f t="shared" si="5"/>
        <v>64.8</v>
      </c>
      <c r="AJ29" s="40" t="s">
        <v>24</v>
      </c>
      <c r="AK29">
        <v>92</v>
      </c>
      <c r="AL29">
        <v>68</v>
      </c>
      <c r="AM29">
        <v>6855</v>
      </c>
      <c r="AN29">
        <v>4800</v>
      </c>
      <c r="AO29">
        <v>93.7</v>
      </c>
      <c r="AP29">
        <v>63.8</v>
      </c>
      <c r="AY29" s="40" t="s">
        <v>16</v>
      </c>
      <c r="AZ29" s="2">
        <v>101</v>
      </c>
    </row>
    <row r="30" spans="1:52" ht="15.75" x14ac:dyDescent="0.25">
      <c r="A30" s="4" t="s">
        <v>23</v>
      </c>
      <c r="B30" s="2">
        <v>161</v>
      </c>
      <c r="C30" s="5" t="s">
        <v>44</v>
      </c>
      <c r="D30" s="1" t="s">
        <v>36</v>
      </c>
      <c r="E30" s="5" t="s">
        <v>22</v>
      </c>
      <c r="F30" s="1" t="s">
        <v>8</v>
      </c>
      <c r="G30" s="5" t="s">
        <v>16</v>
      </c>
      <c r="H30" s="1" t="s">
        <v>5</v>
      </c>
      <c r="I30" s="5" t="s">
        <v>6</v>
      </c>
      <c r="J30" s="2">
        <v>107.9</v>
      </c>
      <c r="K30" s="4">
        <v>186.7</v>
      </c>
      <c r="L30" s="2">
        <v>68.400000000000006</v>
      </c>
      <c r="M30" s="4">
        <v>56.7</v>
      </c>
      <c r="N30" s="2">
        <v>3252</v>
      </c>
      <c r="O30" s="5" t="s">
        <v>26</v>
      </c>
      <c r="P30" s="1" t="s">
        <v>8</v>
      </c>
      <c r="Q30" s="4">
        <v>152</v>
      </c>
      <c r="R30" s="1" t="s">
        <v>37</v>
      </c>
      <c r="S30" s="4">
        <v>3.7</v>
      </c>
      <c r="T30" s="2">
        <v>3.52</v>
      </c>
      <c r="U30" s="4">
        <v>21</v>
      </c>
      <c r="V30" s="2">
        <v>95</v>
      </c>
      <c r="W30" s="4">
        <v>4150</v>
      </c>
      <c r="X30" s="2">
        <v>28</v>
      </c>
      <c r="Y30" s="4">
        <v>33</v>
      </c>
      <c r="Z30" s="2">
        <v>16900</v>
      </c>
      <c r="AC30" s="11">
        <f t="shared" si="0"/>
        <v>152</v>
      </c>
      <c r="AD30" s="11">
        <f t="shared" si="1"/>
        <v>95</v>
      </c>
      <c r="AE30" s="11">
        <f t="shared" si="2"/>
        <v>16900</v>
      </c>
      <c r="AF30" s="11">
        <f t="shared" si="3"/>
        <v>4150</v>
      </c>
      <c r="AG30" s="11">
        <f t="shared" si="4"/>
        <v>107.9</v>
      </c>
      <c r="AH30" s="11">
        <f t="shared" si="5"/>
        <v>68.400000000000006</v>
      </c>
      <c r="AJ30" s="40" t="s">
        <v>44</v>
      </c>
      <c r="AK30">
        <v>92</v>
      </c>
      <c r="AL30">
        <v>68</v>
      </c>
      <c r="AM30">
        <v>6918</v>
      </c>
      <c r="AN30">
        <v>4800</v>
      </c>
      <c r="AO30">
        <v>93.7</v>
      </c>
      <c r="AP30">
        <v>63.8</v>
      </c>
      <c r="AY30" s="40" t="s">
        <v>16</v>
      </c>
      <c r="AZ30" s="2">
        <v>95</v>
      </c>
    </row>
    <row r="31" spans="1:52" ht="15.75" x14ac:dyDescent="0.25">
      <c r="A31" s="4" t="s">
        <v>30</v>
      </c>
      <c r="B31" s="2">
        <v>95</v>
      </c>
      <c r="C31" s="5" t="s">
        <v>53</v>
      </c>
      <c r="D31" s="1" t="s">
        <v>1</v>
      </c>
      <c r="E31" s="5" t="s">
        <v>2</v>
      </c>
      <c r="F31" s="1" t="s">
        <v>8</v>
      </c>
      <c r="G31" s="5" t="s">
        <v>16</v>
      </c>
      <c r="H31" s="1" t="s">
        <v>5</v>
      </c>
      <c r="I31" s="5" t="s">
        <v>6</v>
      </c>
      <c r="J31" s="2">
        <v>109.1</v>
      </c>
      <c r="K31" s="4">
        <v>188.8</v>
      </c>
      <c r="L31" s="2">
        <v>68.900000000000006</v>
      </c>
      <c r="M31" s="4">
        <v>55.5</v>
      </c>
      <c r="N31" s="2">
        <v>2952</v>
      </c>
      <c r="O31" s="5" t="s">
        <v>18</v>
      </c>
      <c r="P31" s="1" t="s">
        <v>8</v>
      </c>
      <c r="Q31" s="4">
        <v>141</v>
      </c>
      <c r="R31" s="1" t="s">
        <v>9</v>
      </c>
      <c r="S31" s="4">
        <v>3.78</v>
      </c>
      <c r="T31" s="2">
        <v>3.15</v>
      </c>
      <c r="U31" s="4">
        <v>9.5</v>
      </c>
      <c r="V31" s="2">
        <v>114</v>
      </c>
      <c r="W31" s="4">
        <v>5400</v>
      </c>
      <c r="X31" s="2">
        <v>23</v>
      </c>
      <c r="Y31" s="4">
        <v>28</v>
      </c>
      <c r="Z31" s="2">
        <v>16845</v>
      </c>
      <c r="AC31" s="11">
        <f t="shared" si="0"/>
        <v>141</v>
      </c>
      <c r="AD31" s="11">
        <f t="shared" si="1"/>
        <v>114</v>
      </c>
      <c r="AE31" s="11">
        <f t="shared" si="2"/>
        <v>16845</v>
      </c>
      <c r="AF31" s="11">
        <f t="shared" si="3"/>
        <v>5400</v>
      </c>
      <c r="AG31" s="11">
        <f t="shared" si="4"/>
        <v>109.1</v>
      </c>
      <c r="AH31" s="11">
        <f t="shared" si="5"/>
        <v>68.900000000000006</v>
      </c>
      <c r="AJ31" s="40" t="s">
        <v>53</v>
      </c>
      <c r="AK31">
        <v>92</v>
      </c>
      <c r="AL31">
        <v>68</v>
      </c>
      <c r="AM31">
        <v>6938</v>
      </c>
      <c r="AN31">
        <v>4800</v>
      </c>
      <c r="AO31">
        <v>93.7</v>
      </c>
      <c r="AP31">
        <v>63.8</v>
      </c>
      <c r="AY31" s="40" t="s">
        <v>16</v>
      </c>
      <c r="AZ31" s="2">
        <v>114</v>
      </c>
    </row>
    <row r="32" spans="1:52" ht="15.75" x14ac:dyDescent="0.25">
      <c r="A32" s="4" t="s">
        <v>23</v>
      </c>
      <c r="B32" s="2">
        <v>161</v>
      </c>
      <c r="C32" s="5" t="s">
        <v>44</v>
      </c>
      <c r="D32" s="1" t="s">
        <v>1</v>
      </c>
      <c r="E32" s="5" t="s">
        <v>2</v>
      </c>
      <c r="F32" s="1" t="s">
        <v>8</v>
      </c>
      <c r="G32" s="5" t="s">
        <v>16</v>
      </c>
      <c r="H32" s="1" t="s">
        <v>5</v>
      </c>
      <c r="I32" s="5" t="s">
        <v>6</v>
      </c>
      <c r="J32" s="2">
        <v>107.9</v>
      </c>
      <c r="K32" s="4">
        <v>186.7</v>
      </c>
      <c r="L32" s="2">
        <v>68.400000000000006</v>
      </c>
      <c r="M32" s="4">
        <v>56.7</v>
      </c>
      <c r="N32" s="2">
        <v>3075</v>
      </c>
      <c r="O32" s="5" t="s">
        <v>26</v>
      </c>
      <c r="P32" s="1" t="s">
        <v>8</v>
      </c>
      <c r="Q32" s="4">
        <v>120</v>
      </c>
      <c r="R32" s="1" t="s">
        <v>9</v>
      </c>
      <c r="S32" s="4">
        <v>3.46</v>
      </c>
      <c r="T32" s="2">
        <v>3.19</v>
      </c>
      <c r="U32" s="4">
        <v>8.4</v>
      </c>
      <c r="V32" s="2">
        <v>97</v>
      </c>
      <c r="W32" s="4">
        <v>5000</v>
      </c>
      <c r="X32" s="2">
        <v>19</v>
      </c>
      <c r="Y32" s="4">
        <v>24</v>
      </c>
      <c r="Z32" s="2">
        <v>16630</v>
      </c>
      <c r="AC32" s="11">
        <f t="shared" si="0"/>
        <v>120</v>
      </c>
      <c r="AD32" s="11">
        <f t="shared" si="1"/>
        <v>97</v>
      </c>
      <c r="AE32" s="11">
        <f t="shared" si="2"/>
        <v>16630</v>
      </c>
      <c r="AF32" s="11">
        <f t="shared" si="3"/>
        <v>5000</v>
      </c>
      <c r="AG32" s="11">
        <f t="shared" si="4"/>
        <v>107.9</v>
      </c>
      <c r="AH32" s="11">
        <f t="shared" si="5"/>
        <v>68.400000000000006</v>
      </c>
      <c r="AJ32" s="40" t="s">
        <v>44</v>
      </c>
      <c r="AK32">
        <v>92</v>
      </c>
      <c r="AL32">
        <v>68</v>
      </c>
      <c r="AM32">
        <v>6989</v>
      </c>
      <c r="AN32">
        <v>4800</v>
      </c>
      <c r="AO32">
        <v>93.7</v>
      </c>
      <c r="AP32">
        <v>63.8</v>
      </c>
      <c r="AY32" s="40" t="s">
        <v>16</v>
      </c>
      <c r="AZ32" s="2">
        <v>97</v>
      </c>
    </row>
    <row r="33" spans="1:52" ht="15.75" x14ac:dyDescent="0.25">
      <c r="A33" s="4" t="s">
        <v>0</v>
      </c>
      <c r="B33" s="2">
        <v>197</v>
      </c>
      <c r="C33" s="5" t="s">
        <v>50</v>
      </c>
      <c r="D33" s="1" t="s">
        <v>1</v>
      </c>
      <c r="E33" s="5" t="s">
        <v>2</v>
      </c>
      <c r="F33" s="1" t="s">
        <v>3</v>
      </c>
      <c r="G33" s="5" t="s">
        <v>11</v>
      </c>
      <c r="H33" s="1" t="s">
        <v>5</v>
      </c>
      <c r="I33" s="5" t="s">
        <v>6</v>
      </c>
      <c r="J33" s="2">
        <v>102.9</v>
      </c>
      <c r="K33" s="4">
        <v>183.5</v>
      </c>
      <c r="L33" s="2">
        <v>67.7</v>
      </c>
      <c r="M33" s="4">
        <v>52</v>
      </c>
      <c r="N33" s="2">
        <v>2976</v>
      </c>
      <c r="O33" s="5" t="s">
        <v>7</v>
      </c>
      <c r="P33" s="1" t="s">
        <v>13</v>
      </c>
      <c r="Q33" s="4">
        <v>171</v>
      </c>
      <c r="R33" s="1" t="s">
        <v>9</v>
      </c>
      <c r="S33" s="4">
        <v>3.27</v>
      </c>
      <c r="T33" s="2">
        <v>3.35</v>
      </c>
      <c r="U33" s="4">
        <v>9.3000000000000007</v>
      </c>
      <c r="V33" s="2">
        <v>161</v>
      </c>
      <c r="W33" s="4">
        <v>5200</v>
      </c>
      <c r="X33" s="2">
        <v>20</v>
      </c>
      <c r="Y33" s="4">
        <v>24</v>
      </c>
      <c r="Z33" s="2">
        <v>16558</v>
      </c>
      <c r="AC33" s="11">
        <f t="shared" si="0"/>
        <v>171</v>
      </c>
      <c r="AD33" s="11">
        <f t="shared" si="1"/>
        <v>161</v>
      </c>
      <c r="AE33" s="11">
        <f t="shared" si="2"/>
        <v>16558</v>
      </c>
      <c r="AF33" s="11">
        <f t="shared" si="3"/>
        <v>5200</v>
      </c>
      <c r="AG33" s="11">
        <f t="shared" si="4"/>
        <v>102.9</v>
      </c>
      <c r="AH33" s="11">
        <f t="shared" si="5"/>
        <v>67.7</v>
      </c>
      <c r="AJ33" s="40" t="s">
        <v>50</v>
      </c>
      <c r="AK33">
        <v>92</v>
      </c>
      <c r="AL33">
        <v>68</v>
      </c>
      <c r="AM33">
        <v>7053</v>
      </c>
      <c r="AN33">
        <v>4800</v>
      </c>
      <c r="AO33">
        <v>94.5</v>
      </c>
      <c r="AP33">
        <v>63.8</v>
      </c>
      <c r="AY33" s="40" t="s">
        <v>11</v>
      </c>
      <c r="AZ33" s="2">
        <v>161</v>
      </c>
    </row>
    <row r="34" spans="1:52" ht="15.75" x14ac:dyDescent="0.25">
      <c r="A34" s="4" t="s">
        <v>30</v>
      </c>
      <c r="B34" s="2">
        <v>74</v>
      </c>
      <c r="C34" s="5" t="s">
        <v>53</v>
      </c>
      <c r="D34" s="1" t="s">
        <v>1</v>
      </c>
      <c r="E34" s="5" t="s">
        <v>2</v>
      </c>
      <c r="F34" s="1" t="s">
        <v>8</v>
      </c>
      <c r="G34" s="5" t="s">
        <v>21</v>
      </c>
      <c r="H34" s="1" t="s">
        <v>5</v>
      </c>
      <c r="I34" s="5" t="s">
        <v>6</v>
      </c>
      <c r="J34" s="2">
        <v>104.3</v>
      </c>
      <c r="K34" s="4">
        <v>188.8</v>
      </c>
      <c r="L34" s="2">
        <v>67.2</v>
      </c>
      <c r="M34" s="4">
        <v>57.5</v>
      </c>
      <c r="N34" s="2">
        <v>3042</v>
      </c>
      <c r="O34" s="5" t="s">
        <v>18</v>
      </c>
      <c r="P34" s="1" t="s">
        <v>8</v>
      </c>
      <c r="Q34" s="4">
        <v>141</v>
      </c>
      <c r="R34" s="1" t="s">
        <v>9</v>
      </c>
      <c r="S34" s="4">
        <v>3.78</v>
      </c>
      <c r="T34" s="2">
        <v>3.15</v>
      </c>
      <c r="U34" s="4">
        <v>9.5</v>
      </c>
      <c r="V34" s="2">
        <v>114</v>
      </c>
      <c r="W34" s="4">
        <v>5400</v>
      </c>
      <c r="X34" s="2">
        <v>24</v>
      </c>
      <c r="Y34" s="4">
        <v>28</v>
      </c>
      <c r="Z34" s="2">
        <v>16515</v>
      </c>
      <c r="AC34" s="11">
        <f t="shared" si="0"/>
        <v>141</v>
      </c>
      <c r="AD34" s="11">
        <f t="shared" si="1"/>
        <v>114</v>
      </c>
      <c r="AE34" s="11">
        <f t="shared" si="2"/>
        <v>16515</v>
      </c>
      <c r="AF34" s="11">
        <f t="shared" si="3"/>
        <v>5400</v>
      </c>
      <c r="AG34" s="11">
        <f t="shared" si="4"/>
        <v>104.3</v>
      </c>
      <c r="AH34" s="11">
        <f t="shared" si="5"/>
        <v>67.2</v>
      </c>
      <c r="AJ34" s="40" t="s">
        <v>53</v>
      </c>
      <c r="AK34">
        <v>97</v>
      </c>
      <c r="AL34">
        <v>69</v>
      </c>
      <c r="AM34">
        <v>7099</v>
      </c>
      <c r="AN34">
        <v>4800</v>
      </c>
      <c r="AO34">
        <v>94.5</v>
      </c>
      <c r="AP34">
        <v>63.8</v>
      </c>
      <c r="AY34" s="40" t="s">
        <v>21</v>
      </c>
      <c r="AZ34" s="2">
        <v>114</v>
      </c>
    </row>
    <row r="35" spans="1:52" ht="15.75" x14ac:dyDescent="0.25">
      <c r="A35" s="4" t="s">
        <v>14</v>
      </c>
      <c r="B35" s="2">
        <v>192</v>
      </c>
      <c r="C35" s="5" t="s">
        <v>24</v>
      </c>
      <c r="D35" s="1" t="s">
        <v>1</v>
      </c>
      <c r="E35" s="5" t="s">
        <v>2</v>
      </c>
      <c r="F35" s="1" t="s">
        <v>3</v>
      </c>
      <c r="G35" s="5" t="s">
        <v>16</v>
      </c>
      <c r="H35" s="1" t="s">
        <v>5</v>
      </c>
      <c r="I35" s="5" t="s">
        <v>6</v>
      </c>
      <c r="J35" s="2">
        <v>101.2</v>
      </c>
      <c r="K35" s="4">
        <v>176.8</v>
      </c>
      <c r="L35" s="2">
        <v>64.8</v>
      </c>
      <c r="M35" s="4">
        <v>54.3</v>
      </c>
      <c r="N35" s="2">
        <v>2395</v>
      </c>
      <c r="O35" s="5" t="s">
        <v>18</v>
      </c>
      <c r="P35" s="1" t="s">
        <v>8</v>
      </c>
      <c r="Q35" s="4">
        <v>108</v>
      </c>
      <c r="R35" s="1" t="s">
        <v>9</v>
      </c>
      <c r="S35" s="4">
        <v>3.5</v>
      </c>
      <c r="T35" s="2">
        <v>2.8</v>
      </c>
      <c r="U35" s="4">
        <v>8.8000000000000007</v>
      </c>
      <c r="V35" s="2">
        <v>101</v>
      </c>
      <c r="W35" s="4">
        <v>5800</v>
      </c>
      <c r="X35" s="2">
        <v>23</v>
      </c>
      <c r="Y35" s="4">
        <v>29</v>
      </c>
      <c r="Z35" s="2">
        <v>16430</v>
      </c>
      <c r="AC35" s="11">
        <f t="shared" si="0"/>
        <v>108</v>
      </c>
      <c r="AD35" s="11">
        <f t="shared" si="1"/>
        <v>101</v>
      </c>
      <c r="AE35" s="11">
        <f t="shared" si="2"/>
        <v>16430</v>
      </c>
      <c r="AF35" s="11">
        <f t="shared" si="3"/>
        <v>5800</v>
      </c>
      <c r="AG35" s="11">
        <f t="shared" si="4"/>
        <v>101.2</v>
      </c>
      <c r="AH35" s="11">
        <f t="shared" si="5"/>
        <v>64.8</v>
      </c>
      <c r="AJ35" s="40" t="s">
        <v>24</v>
      </c>
      <c r="AK35">
        <v>97</v>
      </c>
      <c r="AL35">
        <v>69</v>
      </c>
      <c r="AM35">
        <v>7126</v>
      </c>
      <c r="AN35">
        <v>4800</v>
      </c>
      <c r="AO35">
        <v>94.5</v>
      </c>
      <c r="AP35">
        <v>63.8</v>
      </c>
      <c r="AY35" s="40" t="s">
        <v>16</v>
      </c>
      <c r="AZ35" s="2">
        <v>101</v>
      </c>
    </row>
    <row r="36" spans="1:52" ht="15.75" x14ac:dyDescent="0.25">
      <c r="A36" s="4" t="s">
        <v>0</v>
      </c>
      <c r="B36" s="2">
        <v>197</v>
      </c>
      <c r="C36" s="5" t="s">
        <v>50</v>
      </c>
      <c r="D36" s="1" t="s">
        <v>1</v>
      </c>
      <c r="E36" s="5" t="s">
        <v>2</v>
      </c>
      <c r="F36" s="1" t="s">
        <v>3</v>
      </c>
      <c r="G36" s="5" t="s">
        <v>11</v>
      </c>
      <c r="H36" s="1" t="s">
        <v>5</v>
      </c>
      <c r="I36" s="5" t="s">
        <v>6</v>
      </c>
      <c r="J36" s="2">
        <v>102.9</v>
      </c>
      <c r="K36" s="4">
        <v>183.5</v>
      </c>
      <c r="L36" s="2">
        <v>67.7</v>
      </c>
      <c r="M36" s="4">
        <v>52</v>
      </c>
      <c r="N36" s="2">
        <v>3016</v>
      </c>
      <c r="O36" s="5" t="s">
        <v>7</v>
      </c>
      <c r="P36" s="1" t="s">
        <v>13</v>
      </c>
      <c r="Q36" s="4">
        <v>171</v>
      </c>
      <c r="R36" s="1" t="s">
        <v>9</v>
      </c>
      <c r="S36" s="4">
        <v>3.27</v>
      </c>
      <c r="T36" s="2">
        <v>3.35</v>
      </c>
      <c r="U36" s="4">
        <v>9.3000000000000007</v>
      </c>
      <c r="V36" s="2">
        <v>161</v>
      </c>
      <c r="W36" s="4">
        <v>5200</v>
      </c>
      <c r="X36" s="2">
        <v>19</v>
      </c>
      <c r="Y36" s="4">
        <v>24</v>
      </c>
      <c r="Z36" s="2">
        <v>15998</v>
      </c>
      <c r="AC36" s="11">
        <f t="shared" si="0"/>
        <v>171</v>
      </c>
      <c r="AD36" s="11">
        <f t="shared" si="1"/>
        <v>161</v>
      </c>
      <c r="AE36" s="11">
        <f t="shared" si="2"/>
        <v>15998</v>
      </c>
      <c r="AF36" s="11">
        <f t="shared" si="3"/>
        <v>5200</v>
      </c>
      <c r="AG36" s="11">
        <f t="shared" si="4"/>
        <v>102.9</v>
      </c>
      <c r="AH36" s="11">
        <f t="shared" si="5"/>
        <v>67.7</v>
      </c>
      <c r="AJ36" s="40" t="s">
        <v>50</v>
      </c>
      <c r="AK36">
        <v>97</v>
      </c>
      <c r="AL36">
        <v>69</v>
      </c>
      <c r="AM36">
        <v>7129</v>
      </c>
      <c r="AN36">
        <v>4800</v>
      </c>
      <c r="AO36">
        <v>94.5</v>
      </c>
      <c r="AP36">
        <v>63.8</v>
      </c>
      <c r="AY36" s="40" t="s">
        <v>11</v>
      </c>
      <c r="AZ36" s="2">
        <v>161</v>
      </c>
    </row>
    <row r="37" spans="1:52" ht="15.75" x14ac:dyDescent="0.25">
      <c r="A37" s="4" t="s">
        <v>52</v>
      </c>
      <c r="B37" s="2">
        <v>103</v>
      </c>
      <c r="C37" s="5" t="s">
        <v>53</v>
      </c>
      <c r="D37" s="1" t="s">
        <v>1</v>
      </c>
      <c r="E37" s="5" t="s">
        <v>2</v>
      </c>
      <c r="F37" s="1" t="s">
        <v>8</v>
      </c>
      <c r="G37" s="5" t="s">
        <v>16</v>
      </c>
      <c r="H37" s="1" t="s">
        <v>5</v>
      </c>
      <c r="I37" s="5" t="s">
        <v>6</v>
      </c>
      <c r="J37" s="2">
        <v>104.3</v>
      </c>
      <c r="K37" s="4">
        <v>188.8</v>
      </c>
      <c r="L37" s="2">
        <v>67.2</v>
      </c>
      <c r="M37" s="4">
        <v>56.2</v>
      </c>
      <c r="N37" s="2">
        <v>2935</v>
      </c>
      <c r="O37" s="5" t="s">
        <v>18</v>
      </c>
      <c r="P37" s="1" t="s">
        <v>8</v>
      </c>
      <c r="Q37" s="4">
        <v>141</v>
      </c>
      <c r="R37" s="1" t="s">
        <v>9</v>
      </c>
      <c r="S37" s="4">
        <v>3.78</v>
      </c>
      <c r="T37" s="2">
        <v>3.15</v>
      </c>
      <c r="U37" s="4">
        <v>9.5</v>
      </c>
      <c r="V37" s="2">
        <v>114</v>
      </c>
      <c r="W37" s="4">
        <v>5400</v>
      </c>
      <c r="X37" s="2">
        <v>24</v>
      </c>
      <c r="Y37" s="4">
        <v>28</v>
      </c>
      <c r="Z37" s="2">
        <v>15985</v>
      </c>
      <c r="AC37" s="11">
        <f t="shared" si="0"/>
        <v>141</v>
      </c>
      <c r="AD37" s="11">
        <f t="shared" si="1"/>
        <v>114</v>
      </c>
      <c r="AE37" s="11">
        <f t="shared" si="2"/>
        <v>15985</v>
      </c>
      <c r="AF37" s="11">
        <f t="shared" si="3"/>
        <v>5400</v>
      </c>
      <c r="AG37" s="11">
        <f t="shared" si="4"/>
        <v>104.3</v>
      </c>
      <c r="AH37" s="11">
        <f t="shared" si="5"/>
        <v>67.2</v>
      </c>
      <c r="AJ37" s="40" t="s">
        <v>53</v>
      </c>
      <c r="AK37">
        <v>97</v>
      </c>
      <c r="AL37">
        <v>69</v>
      </c>
      <c r="AM37">
        <v>7198</v>
      </c>
      <c r="AN37">
        <v>4800</v>
      </c>
      <c r="AO37">
        <v>94.5</v>
      </c>
      <c r="AP37">
        <v>63.9</v>
      </c>
      <c r="AY37" s="40" t="s">
        <v>16</v>
      </c>
      <c r="AZ37" s="2">
        <v>114</v>
      </c>
    </row>
    <row r="38" spans="1:52" ht="15.75" x14ac:dyDescent="0.25">
      <c r="A38" s="4" t="s">
        <v>30</v>
      </c>
      <c r="B38" s="2">
        <v>90</v>
      </c>
      <c r="C38" s="5" t="s">
        <v>50</v>
      </c>
      <c r="D38" s="1" t="s">
        <v>1</v>
      </c>
      <c r="E38" s="5" t="s">
        <v>2</v>
      </c>
      <c r="F38" s="1" t="s">
        <v>8</v>
      </c>
      <c r="G38" s="5" t="s">
        <v>16</v>
      </c>
      <c r="H38" s="1" t="s">
        <v>5</v>
      </c>
      <c r="I38" s="5" t="s">
        <v>6</v>
      </c>
      <c r="J38" s="2">
        <v>104.5</v>
      </c>
      <c r="K38" s="4">
        <v>187.8</v>
      </c>
      <c r="L38" s="2">
        <v>66.5</v>
      </c>
      <c r="M38" s="4">
        <v>54.1</v>
      </c>
      <c r="N38" s="2">
        <v>3131</v>
      </c>
      <c r="O38" s="5" t="s">
        <v>7</v>
      </c>
      <c r="P38" s="1" t="s">
        <v>13</v>
      </c>
      <c r="Q38" s="4">
        <v>171</v>
      </c>
      <c r="R38" s="1" t="s">
        <v>9</v>
      </c>
      <c r="S38" s="4">
        <v>3.27</v>
      </c>
      <c r="T38" s="2">
        <v>3.35</v>
      </c>
      <c r="U38" s="4">
        <v>9.1999999999999993</v>
      </c>
      <c r="V38" s="2">
        <v>156</v>
      </c>
      <c r="W38" s="4">
        <v>5200</v>
      </c>
      <c r="X38" s="2">
        <v>20</v>
      </c>
      <c r="Y38" s="4">
        <v>24</v>
      </c>
      <c r="Z38" s="2">
        <v>15690</v>
      </c>
      <c r="AC38" s="11">
        <f t="shared" si="0"/>
        <v>171</v>
      </c>
      <c r="AD38" s="11">
        <f t="shared" si="1"/>
        <v>156</v>
      </c>
      <c r="AE38" s="11">
        <f t="shared" si="2"/>
        <v>15690</v>
      </c>
      <c r="AF38" s="11">
        <f t="shared" si="3"/>
        <v>5200</v>
      </c>
      <c r="AG38" s="11">
        <f t="shared" si="4"/>
        <v>104.5</v>
      </c>
      <c r="AH38" s="11">
        <f t="shared" si="5"/>
        <v>66.5</v>
      </c>
      <c r="AJ38" s="40" t="s">
        <v>50</v>
      </c>
      <c r="AK38">
        <v>97</v>
      </c>
      <c r="AL38">
        <v>69</v>
      </c>
      <c r="AM38">
        <v>7295</v>
      </c>
      <c r="AN38">
        <v>4800</v>
      </c>
      <c r="AO38">
        <v>94.5</v>
      </c>
      <c r="AP38">
        <v>63.9</v>
      </c>
      <c r="AY38" s="40" t="s">
        <v>16</v>
      </c>
      <c r="AZ38" s="2">
        <v>156</v>
      </c>
    </row>
    <row r="39" spans="1:52" ht="15.75" x14ac:dyDescent="0.25">
      <c r="A39" s="4" t="s">
        <v>23</v>
      </c>
      <c r="B39" s="2">
        <v>161</v>
      </c>
      <c r="C39" s="5" t="s">
        <v>44</v>
      </c>
      <c r="D39" s="1" t="s">
        <v>1</v>
      </c>
      <c r="E39" s="5" t="s">
        <v>2</v>
      </c>
      <c r="F39" s="1" t="s">
        <v>8</v>
      </c>
      <c r="G39" s="5" t="s">
        <v>16</v>
      </c>
      <c r="H39" s="1" t="s">
        <v>5</v>
      </c>
      <c r="I39" s="5" t="s">
        <v>6</v>
      </c>
      <c r="J39" s="2">
        <v>107.9</v>
      </c>
      <c r="K39" s="4">
        <v>186.7</v>
      </c>
      <c r="L39" s="2">
        <v>68.400000000000006</v>
      </c>
      <c r="M39" s="4">
        <v>56.7</v>
      </c>
      <c r="N39" s="2">
        <v>3075</v>
      </c>
      <c r="O39" s="5" t="s">
        <v>26</v>
      </c>
      <c r="P39" s="1" t="s">
        <v>8</v>
      </c>
      <c r="Q39" s="4">
        <v>120</v>
      </c>
      <c r="R39" s="1" t="s">
        <v>9</v>
      </c>
      <c r="S39" s="4">
        <v>3.46</v>
      </c>
      <c r="T39" s="2">
        <v>2.19</v>
      </c>
      <c r="U39" s="4">
        <v>8.4</v>
      </c>
      <c r="V39" s="2">
        <v>95</v>
      </c>
      <c r="W39" s="4">
        <v>5000</v>
      </c>
      <c r="X39" s="2">
        <v>19</v>
      </c>
      <c r="Y39" s="4">
        <v>24</v>
      </c>
      <c r="Z39" s="2">
        <v>15580</v>
      </c>
      <c r="AC39" s="11">
        <f t="shared" si="0"/>
        <v>120</v>
      </c>
      <c r="AD39" s="11">
        <f t="shared" si="1"/>
        <v>95</v>
      </c>
      <c r="AE39" s="11">
        <f t="shared" si="2"/>
        <v>15580</v>
      </c>
      <c r="AF39" s="11">
        <f t="shared" si="3"/>
        <v>5000</v>
      </c>
      <c r="AG39" s="11">
        <f t="shared" si="4"/>
        <v>107.9</v>
      </c>
      <c r="AH39" s="11">
        <f t="shared" si="5"/>
        <v>68.400000000000006</v>
      </c>
      <c r="AJ39" s="40" t="s">
        <v>44</v>
      </c>
      <c r="AK39">
        <v>97</v>
      </c>
      <c r="AL39">
        <v>69</v>
      </c>
      <c r="AM39">
        <v>7295</v>
      </c>
      <c r="AN39">
        <v>4800</v>
      </c>
      <c r="AO39">
        <v>94.5</v>
      </c>
      <c r="AP39">
        <v>63.9</v>
      </c>
      <c r="AY39" s="40" t="s">
        <v>16</v>
      </c>
      <c r="AZ39" s="2">
        <v>95</v>
      </c>
    </row>
    <row r="40" spans="1:52" ht="15.75" x14ac:dyDescent="0.25">
      <c r="A40" s="4" t="s">
        <v>14</v>
      </c>
      <c r="B40" s="2">
        <v>104</v>
      </c>
      <c r="C40" s="5" t="s">
        <v>48</v>
      </c>
      <c r="D40" s="1" t="s">
        <v>1</v>
      </c>
      <c r="E40" s="5" t="s">
        <v>2</v>
      </c>
      <c r="F40" s="1" t="s">
        <v>8</v>
      </c>
      <c r="G40" s="5" t="s">
        <v>16</v>
      </c>
      <c r="H40" s="1" t="s">
        <v>17</v>
      </c>
      <c r="I40" s="5" t="s">
        <v>6</v>
      </c>
      <c r="J40" s="2">
        <v>99.1</v>
      </c>
      <c r="K40" s="4">
        <v>186.6</v>
      </c>
      <c r="L40" s="2">
        <v>66.5</v>
      </c>
      <c r="M40" s="4">
        <v>56.1</v>
      </c>
      <c r="N40" s="2">
        <v>2758</v>
      </c>
      <c r="O40" s="5" t="s">
        <v>18</v>
      </c>
      <c r="P40" s="1" t="s">
        <v>8</v>
      </c>
      <c r="Q40" s="4">
        <v>121</v>
      </c>
      <c r="R40" s="1" t="s">
        <v>9</v>
      </c>
      <c r="S40" s="4">
        <v>3.54</v>
      </c>
      <c r="T40" s="2">
        <v>3.07</v>
      </c>
      <c r="U40" s="4">
        <v>9.3000000000000007</v>
      </c>
      <c r="V40" s="2">
        <v>110</v>
      </c>
      <c r="W40" s="4">
        <v>5250</v>
      </c>
      <c r="X40" s="2">
        <v>21</v>
      </c>
      <c r="Y40" s="4">
        <v>28</v>
      </c>
      <c r="Z40" s="2">
        <v>15510</v>
      </c>
      <c r="AC40" s="11">
        <f t="shared" si="0"/>
        <v>121</v>
      </c>
      <c r="AD40" s="11">
        <f t="shared" si="1"/>
        <v>110</v>
      </c>
      <c r="AE40" s="11">
        <f t="shared" si="2"/>
        <v>15510</v>
      </c>
      <c r="AF40" s="11">
        <f t="shared" si="3"/>
        <v>5250</v>
      </c>
      <c r="AG40" s="11">
        <f t="shared" si="4"/>
        <v>99.1</v>
      </c>
      <c r="AH40" s="11">
        <f t="shared" si="5"/>
        <v>66.5</v>
      </c>
      <c r="AJ40" s="40" t="s">
        <v>48</v>
      </c>
      <c r="AK40">
        <v>97</v>
      </c>
      <c r="AL40">
        <v>69</v>
      </c>
      <c r="AM40">
        <v>7299</v>
      </c>
      <c r="AN40">
        <v>4800</v>
      </c>
      <c r="AO40">
        <v>94.5</v>
      </c>
      <c r="AP40">
        <v>64</v>
      </c>
      <c r="AY40" s="40" t="s">
        <v>16</v>
      </c>
      <c r="AZ40" s="2">
        <v>110</v>
      </c>
    </row>
    <row r="41" spans="1:52" ht="15.75" x14ac:dyDescent="0.25">
      <c r="A41" s="4" t="s">
        <v>0</v>
      </c>
      <c r="B41" s="2">
        <v>150</v>
      </c>
      <c r="C41" s="5" t="s">
        <v>48</v>
      </c>
      <c r="D41" s="1" t="s">
        <v>1</v>
      </c>
      <c r="E41" s="5" t="s">
        <v>2</v>
      </c>
      <c r="F41" s="1" t="s">
        <v>3</v>
      </c>
      <c r="G41" s="5" t="s">
        <v>11</v>
      </c>
      <c r="H41" s="1" t="s">
        <v>17</v>
      </c>
      <c r="I41" s="5" t="s">
        <v>6</v>
      </c>
      <c r="J41" s="2">
        <v>99.1</v>
      </c>
      <c r="K41" s="4">
        <v>186.6</v>
      </c>
      <c r="L41" s="2">
        <v>66.5</v>
      </c>
      <c r="M41" s="4">
        <v>56.1</v>
      </c>
      <c r="N41" s="2">
        <v>2707</v>
      </c>
      <c r="O41" s="5" t="s">
        <v>18</v>
      </c>
      <c r="P41" s="1" t="s">
        <v>8</v>
      </c>
      <c r="Q41" s="4">
        <v>121</v>
      </c>
      <c r="R41" s="1" t="s">
        <v>9</v>
      </c>
      <c r="S41" s="4">
        <v>2.54</v>
      </c>
      <c r="T41" s="2">
        <v>2.0699999999999998</v>
      </c>
      <c r="U41" s="4">
        <v>9.3000000000000007</v>
      </c>
      <c r="V41" s="2">
        <v>110</v>
      </c>
      <c r="W41" s="4">
        <v>5250</v>
      </c>
      <c r="X41" s="2">
        <v>21</v>
      </c>
      <c r="Y41" s="4">
        <v>28</v>
      </c>
      <c r="Z41" s="2">
        <v>15040</v>
      </c>
      <c r="AC41" s="11">
        <f t="shared" si="0"/>
        <v>121</v>
      </c>
      <c r="AD41" s="11">
        <f t="shared" si="1"/>
        <v>110</v>
      </c>
      <c r="AE41" s="11">
        <f t="shared" si="2"/>
        <v>15040</v>
      </c>
      <c r="AF41" s="11">
        <f t="shared" si="3"/>
        <v>5250</v>
      </c>
      <c r="AG41" s="11">
        <f t="shared" si="4"/>
        <v>99.1</v>
      </c>
      <c r="AH41" s="11">
        <f t="shared" si="5"/>
        <v>66.5</v>
      </c>
      <c r="AJ41" s="40" t="s">
        <v>48</v>
      </c>
      <c r="AK41">
        <v>97</v>
      </c>
      <c r="AL41">
        <v>69</v>
      </c>
      <c r="AM41">
        <v>7349</v>
      </c>
      <c r="AN41">
        <v>4800</v>
      </c>
      <c r="AO41">
        <v>94.5</v>
      </c>
      <c r="AP41">
        <v>64</v>
      </c>
      <c r="AY41" s="40" t="s">
        <v>11</v>
      </c>
      <c r="AZ41" s="2">
        <v>110</v>
      </c>
    </row>
    <row r="42" spans="1:52" ht="15.75" x14ac:dyDescent="0.25">
      <c r="A42" s="4" t="s">
        <v>23</v>
      </c>
      <c r="B42" s="2">
        <v>108</v>
      </c>
      <c r="C42" s="5" t="s">
        <v>43</v>
      </c>
      <c r="D42" s="1" t="s">
        <v>1</v>
      </c>
      <c r="E42" s="5" t="s">
        <v>2</v>
      </c>
      <c r="F42" s="1" t="s">
        <v>8</v>
      </c>
      <c r="G42" s="5" t="s">
        <v>21</v>
      </c>
      <c r="H42" s="1" t="s">
        <v>17</v>
      </c>
      <c r="I42" s="5" t="s">
        <v>6</v>
      </c>
      <c r="J42" s="2">
        <v>100.4</v>
      </c>
      <c r="K42" s="4">
        <v>184.6</v>
      </c>
      <c r="L42" s="2">
        <v>66.5</v>
      </c>
      <c r="M42" s="4">
        <v>56.1</v>
      </c>
      <c r="N42" s="2">
        <v>3296</v>
      </c>
      <c r="O42" s="5" t="s">
        <v>12</v>
      </c>
      <c r="P42" s="1" t="s">
        <v>13</v>
      </c>
      <c r="Q42" s="4">
        <v>181</v>
      </c>
      <c r="R42" s="1" t="s">
        <v>9</v>
      </c>
      <c r="S42" s="4">
        <v>3.43</v>
      </c>
      <c r="T42" s="2">
        <v>3.27</v>
      </c>
      <c r="U42" s="4">
        <v>9</v>
      </c>
      <c r="V42" s="2">
        <v>152</v>
      </c>
      <c r="W42" s="4">
        <v>5200</v>
      </c>
      <c r="X42" s="2">
        <v>17</v>
      </c>
      <c r="Y42" s="4">
        <v>22</v>
      </c>
      <c r="Z42" s="2">
        <v>14399</v>
      </c>
      <c r="AC42" s="11">
        <f t="shared" si="0"/>
        <v>181</v>
      </c>
      <c r="AD42" s="11">
        <f t="shared" si="1"/>
        <v>152</v>
      </c>
      <c r="AE42" s="11">
        <f t="shared" si="2"/>
        <v>14399</v>
      </c>
      <c r="AF42" s="11">
        <f t="shared" si="3"/>
        <v>5200</v>
      </c>
      <c r="AG42" s="11">
        <f t="shared" si="4"/>
        <v>100.4</v>
      </c>
      <c r="AH42" s="11">
        <f t="shared" si="5"/>
        <v>66.5</v>
      </c>
      <c r="AJ42" s="40" t="s">
        <v>43</v>
      </c>
      <c r="AK42">
        <v>97</v>
      </c>
      <c r="AL42">
        <v>69</v>
      </c>
      <c r="AM42">
        <v>7395</v>
      </c>
      <c r="AN42">
        <v>4800</v>
      </c>
      <c r="AO42">
        <v>94.5</v>
      </c>
      <c r="AP42">
        <v>64</v>
      </c>
      <c r="AY42" s="40" t="s">
        <v>21</v>
      </c>
      <c r="AZ42" s="2">
        <v>152</v>
      </c>
    </row>
    <row r="43" spans="1:52" ht="15.75" x14ac:dyDescent="0.25">
      <c r="A43" s="4" t="s">
        <v>14</v>
      </c>
      <c r="B43" s="2">
        <v>164</v>
      </c>
      <c r="C43" s="5" t="s">
        <v>15</v>
      </c>
      <c r="D43" s="1" t="s">
        <v>1</v>
      </c>
      <c r="E43" s="5" t="s">
        <v>2</v>
      </c>
      <c r="F43" s="1" t="s">
        <v>8</v>
      </c>
      <c r="G43" s="5" t="s">
        <v>16</v>
      </c>
      <c r="H43" s="1" t="s">
        <v>17</v>
      </c>
      <c r="I43" s="5" t="s">
        <v>6</v>
      </c>
      <c r="J43" s="2">
        <v>99.8</v>
      </c>
      <c r="K43" s="4">
        <v>176.6</v>
      </c>
      <c r="L43" s="2">
        <v>66.2</v>
      </c>
      <c r="M43" s="4">
        <v>54.3</v>
      </c>
      <c r="N43" s="2">
        <v>2337</v>
      </c>
      <c r="O43" s="5" t="s">
        <v>18</v>
      </c>
      <c r="P43" s="1" t="s">
        <v>8</v>
      </c>
      <c r="Q43" s="4">
        <v>109</v>
      </c>
      <c r="R43" s="1" t="s">
        <v>9</v>
      </c>
      <c r="S43" s="4">
        <v>3.19</v>
      </c>
      <c r="T43" s="2">
        <v>3.4</v>
      </c>
      <c r="U43" s="4">
        <v>10</v>
      </c>
      <c r="V43" s="2">
        <v>102</v>
      </c>
      <c r="W43" s="4">
        <v>5500</v>
      </c>
      <c r="X43" s="2">
        <v>24</v>
      </c>
      <c r="Y43" s="4">
        <v>30</v>
      </c>
      <c r="Z43" s="2">
        <v>13950</v>
      </c>
      <c r="AC43" s="11">
        <f t="shared" si="0"/>
        <v>109</v>
      </c>
      <c r="AD43" s="11">
        <f t="shared" si="1"/>
        <v>102</v>
      </c>
      <c r="AE43" s="11">
        <f t="shared" si="2"/>
        <v>13950</v>
      </c>
      <c r="AF43" s="11">
        <f t="shared" si="3"/>
        <v>5500</v>
      </c>
      <c r="AG43" s="11">
        <f t="shared" si="4"/>
        <v>99.8</v>
      </c>
      <c r="AH43" s="11">
        <f t="shared" si="5"/>
        <v>66.2</v>
      </c>
      <c r="AJ43" s="40" t="s">
        <v>15</v>
      </c>
      <c r="AK43">
        <v>97</v>
      </c>
      <c r="AL43">
        <v>69</v>
      </c>
      <c r="AM43">
        <v>7463</v>
      </c>
      <c r="AN43">
        <v>4800</v>
      </c>
      <c r="AO43">
        <v>94.5</v>
      </c>
      <c r="AP43">
        <v>64</v>
      </c>
      <c r="AY43" s="40" t="s">
        <v>16</v>
      </c>
      <c r="AZ43" s="2">
        <v>102</v>
      </c>
    </row>
    <row r="44" spans="1:52" ht="15.75" x14ac:dyDescent="0.25">
      <c r="A44" s="4" t="s">
        <v>23</v>
      </c>
      <c r="B44" s="2">
        <v>108</v>
      </c>
      <c r="C44" s="5" t="s">
        <v>43</v>
      </c>
      <c r="D44" s="1" t="s">
        <v>1</v>
      </c>
      <c r="E44" s="5" t="s">
        <v>2</v>
      </c>
      <c r="F44" s="1" t="s">
        <v>8</v>
      </c>
      <c r="G44" s="5" t="s">
        <v>16</v>
      </c>
      <c r="H44" s="1" t="s">
        <v>17</v>
      </c>
      <c r="I44" s="5" t="s">
        <v>6</v>
      </c>
      <c r="J44" s="2">
        <v>100.4</v>
      </c>
      <c r="K44" s="4">
        <v>184.6</v>
      </c>
      <c r="L44" s="2">
        <v>66.5</v>
      </c>
      <c r="M44" s="4">
        <v>55.1</v>
      </c>
      <c r="N44" s="2">
        <v>3060</v>
      </c>
      <c r="O44" s="5" t="s">
        <v>12</v>
      </c>
      <c r="P44" s="1" t="s">
        <v>13</v>
      </c>
      <c r="Q44" s="4">
        <v>181</v>
      </c>
      <c r="R44" s="1" t="s">
        <v>9</v>
      </c>
      <c r="S44" s="4">
        <v>3.43</v>
      </c>
      <c r="T44" s="2">
        <v>3.27</v>
      </c>
      <c r="U44" s="4">
        <v>9</v>
      </c>
      <c r="V44" s="2">
        <v>152</v>
      </c>
      <c r="W44" s="4">
        <v>5200</v>
      </c>
      <c r="X44" s="2">
        <v>19</v>
      </c>
      <c r="Y44" s="4">
        <v>25</v>
      </c>
      <c r="Z44" s="2">
        <v>13499</v>
      </c>
      <c r="AC44" s="11">
        <f t="shared" si="0"/>
        <v>181</v>
      </c>
      <c r="AD44" s="11">
        <f t="shared" si="1"/>
        <v>152</v>
      </c>
      <c r="AE44" s="11">
        <f t="shared" si="2"/>
        <v>13499</v>
      </c>
      <c r="AF44" s="11">
        <f t="shared" si="3"/>
        <v>5200</v>
      </c>
      <c r="AG44" s="11">
        <f t="shared" si="4"/>
        <v>100.4</v>
      </c>
      <c r="AH44" s="11">
        <f t="shared" si="5"/>
        <v>66.5</v>
      </c>
      <c r="AJ44" s="40" t="s">
        <v>43</v>
      </c>
      <c r="AK44">
        <v>97</v>
      </c>
      <c r="AL44">
        <v>70</v>
      </c>
      <c r="AM44">
        <v>7499</v>
      </c>
      <c r="AN44">
        <v>4800</v>
      </c>
      <c r="AO44">
        <v>94.5</v>
      </c>
      <c r="AP44">
        <v>64</v>
      </c>
      <c r="AY44" s="40" t="s">
        <v>16</v>
      </c>
      <c r="AZ44" s="2">
        <v>152</v>
      </c>
    </row>
    <row r="45" spans="1:52" ht="15.75" x14ac:dyDescent="0.25">
      <c r="A45" s="4" t="s">
        <v>23</v>
      </c>
      <c r="B45" s="2">
        <v>128</v>
      </c>
      <c r="C45" s="5" t="s">
        <v>43</v>
      </c>
      <c r="D45" s="1" t="s">
        <v>1</v>
      </c>
      <c r="E45" s="5" t="s">
        <v>2</v>
      </c>
      <c r="F45" s="1" t="s">
        <v>8</v>
      </c>
      <c r="G45" s="5" t="s">
        <v>16</v>
      </c>
      <c r="H45" s="1" t="s">
        <v>17</v>
      </c>
      <c r="I45" s="5" t="s">
        <v>6</v>
      </c>
      <c r="J45" s="2">
        <v>100.4</v>
      </c>
      <c r="K45" s="4">
        <v>181.7</v>
      </c>
      <c r="L45" s="2">
        <v>66.5</v>
      </c>
      <c r="M45" s="4">
        <v>55.1</v>
      </c>
      <c r="N45" s="2">
        <v>3095</v>
      </c>
      <c r="O45" s="5" t="s">
        <v>12</v>
      </c>
      <c r="P45" s="1" t="s">
        <v>13</v>
      </c>
      <c r="Q45" s="4">
        <v>181</v>
      </c>
      <c r="R45" s="1" t="s">
        <v>9</v>
      </c>
      <c r="S45" s="4">
        <v>3.43</v>
      </c>
      <c r="T45" s="2">
        <v>3.27</v>
      </c>
      <c r="U45" s="4">
        <v>9</v>
      </c>
      <c r="V45" s="2">
        <v>152</v>
      </c>
      <c r="W45" s="4">
        <v>5200</v>
      </c>
      <c r="X45" s="2">
        <v>17</v>
      </c>
      <c r="Y45" s="4">
        <v>22</v>
      </c>
      <c r="Z45" s="2">
        <v>13499</v>
      </c>
      <c r="AC45" s="11">
        <f t="shared" si="0"/>
        <v>181</v>
      </c>
      <c r="AD45" s="11">
        <f t="shared" si="1"/>
        <v>152</v>
      </c>
      <c r="AE45" s="11">
        <f t="shared" si="2"/>
        <v>13499</v>
      </c>
      <c r="AF45" s="11">
        <f t="shared" si="3"/>
        <v>5200</v>
      </c>
      <c r="AG45" s="11">
        <f t="shared" si="4"/>
        <v>100.4</v>
      </c>
      <c r="AH45" s="11">
        <f t="shared" si="5"/>
        <v>66.5</v>
      </c>
      <c r="AJ45" s="40" t="s">
        <v>43</v>
      </c>
      <c r="AK45">
        <v>97</v>
      </c>
      <c r="AL45">
        <v>70</v>
      </c>
      <c r="AM45">
        <v>7603</v>
      </c>
      <c r="AN45">
        <v>4800</v>
      </c>
      <c r="AO45">
        <v>94.5</v>
      </c>
      <c r="AP45">
        <v>64</v>
      </c>
      <c r="AY45" s="40" t="s">
        <v>16</v>
      </c>
      <c r="AZ45" s="2">
        <v>152</v>
      </c>
    </row>
    <row r="46" spans="1:52" ht="15.75" x14ac:dyDescent="0.25">
      <c r="A46" s="4" t="s">
        <v>30</v>
      </c>
      <c r="B46" s="2">
        <v>74</v>
      </c>
      <c r="C46" s="5" t="s">
        <v>53</v>
      </c>
      <c r="D46" s="1" t="s">
        <v>1</v>
      </c>
      <c r="E46" s="5" t="s">
        <v>2</v>
      </c>
      <c r="F46" s="1" t="s">
        <v>8</v>
      </c>
      <c r="G46" s="5" t="s">
        <v>21</v>
      </c>
      <c r="H46" s="1" t="s">
        <v>5</v>
      </c>
      <c r="I46" s="5" t="s">
        <v>6</v>
      </c>
      <c r="J46" s="2">
        <v>104.3</v>
      </c>
      <c r="K46" s="4">
        <v>188.8</v>
      </c>
      <c r="L46" s="2">
        <v>67.2</v>
      </c>
      <c r="M46" s="4">
        <v>57.5</v>
      </c>
      <c r="N46" s="2">
        <v>3034</v>
      </c>
      <c r="O46" s="5" t="s">
        <v>18</v>
      </c>
      <c r="P46" s="1" t="s">
        <v>8</v>
      </c>
      <c r="Q46" s="4">
        <v>141</v>
      </c>
      <c r="R46" s="1" t="s">
        <v>9</v>
      </c>
      <c r="S46" s="4">
        <v>3.78</v>
      </c>
      <c r="T46" s="2">
        <v>3.15</v>
      </c>
      <c r="U46" s="4">
        <v>9.5</v>
      </c>
      <c r="V46" s="2">
        <v>114</v>
      </c>
      <c r="W46" s="4">
        <v>5400</v>
      </c>
      <c r="X46" s="2">
        <v>23</v>
      </c>
      <c r="Y46" s="4">
        <v>28</v>
      </c>
      <c r="Z46" s="2">
        <v>13415</v>
      </c>
      <c r="AC46" s="11">
        <f t="shared" si="0"/>
        <v>141</v>
      </c>
      <c r="AD46" s="11">
        <f t="shared" si="1"/>
        <v>114</v>
      </c>
      <c r="AE46" s="11">
        <f t="shared" si="2"/>
        <v>13415</v>
      </c>
      <c r="AF46" s="11">
        <f t="shared" si="3"/>
        <v>5400</v>
      </c>
      <c r="AG46" s="11">
        <f t="shared" si="4"/>
        <v>104.3</v>
      </c>
      <c r="AH46" s="11">
        <f t="shared" si="5"/>
        <v>67.2</v>
      </c>
      <c r="AJ46" s="40" t="s">
        <v>53</v>
      </c>
      <c r="AK46">
        <v>97</v>
      </c>
      <c r="AL46">
        <v>70</v>
      </c>
      <c r="AM46">
        <v>7609</v>
      </c>
      <c r="AN46">
        <v>4800</v>
      </c>
      <c r="AO46">
        <v>94.5</v>
      </c>
      <c r="AP46">
        <v>64</v>
      </c>
      <c r="AY46" s="40" t="s">
        <v>21</v>
      </c>
      <c r="AZ46" s="2">
        <v>114</v>
      </c>
    </row>
    <row r="47" spans="1:52" ht="15.75" x14ac:dyDescent="0.25">
      <c r="A47" s="4" t="s">
        <v>23</v>
      </c>
      <c r="B47" s="2">
        <v>161</v>
      </c>
      <c r="C47" s="5" t="s">
        <v>44</v>
      </c>
      <c r="D47" s="1" t="s">
        <v>36</v>
      </c>
      <c r="E47" s="5" t="s">
        <v>22</v>
      </c>
      <c r="F47" s="1" t="s">
        <v>8</v>
      </c>
      <c r="G47" s="5" t="s">
        <v>16</v>
      </c>
      <c r="H47" s="1" t="s">
        <v>5</v>
      </c>
      <c r="I47" s="5" t="s">
        <v>6</v>
      </c>
      <c r="J47" s="2">
        <v>107.9</v>
      </c>
      <c r="K47" s="4">
        <v>186.7</v>
      </c>
      <c r="L47" s="2">
        <v>68.400000000000006</v>
      </c>
      <c r="M47" s="4">
        <v>56.7</v>
      </c>
      <c r="N47" s="2">
        <v>3197</v>
      </c>
      <c r="O47" s="5" t="s">
        <v>26</v>
      </c>
      <c r="P47" s="1" t="s">
        <v>8</v>
      </c>
      <c r="Q47" s="4">
        <v>152</v>
      </c>
      <c r="R47" s="1" t="s">
        <v>37</v>
      </c>
      <c r="S47" s="4">
        <v>3.7</v>
      </c>
      <c r="T47" s="2">
        <v>3.52</v>
      </c>
      <c r="U47" s="4">
        <v>21</v>
      </c>
      <c r="V47" s="2">
        <v>95</v>
      </c>
      <c r="W47" s="4">
        <v>4150</v>
      </c>
      <c r="X47" s="2">
        <v>28</v>
      </c>
      <c r="Y47" s="4">
        <v>33</v>
      </c>
      <c r="Z47" s="2">
        <v>13200</v>
      </c>
      <c r="AC47" s="11">
        <f t="shared" si="0"/>
        <v>152</v>
      </c>
      <c r="AD47" s="11">
        <f t="shared" si="1"/>
        <v>95</v>
      </c>
      <c r="AE47" s="11">
        <f t="shared" si="2"/>
        <v>13200</v>
      </c>
      <c r="AF47" s="11">
        <f t="shared" si="3"/>
        <v>4150</v>
      </c>
      <c r="AG47" s="11">
        <f t="shared" si="4"/>
        <v>107.9</v>
      </c>
      <c r="AH47" s="11">
        <f t="shared" si="5"/>
        <v>68.400000000000006</v>
      </c>
      <c r="AJ47" s="40" t="s">
        <v>44</v>
      </c>
      <c r="AK47">
        <v>98</v>
      </c>
      <c r="AL47">
        <v>70</v>
      </c>
      <c r="AM47">
        <v>7609</v>
      </c>
      <c r="AN47">
        <v>4800</v>
      </c>
      <c r="AO47">
        <v>94.5</v>
      </c>
      <c r="AP47">
        <v>64</v>
      </c>
      <c r="AY47" s="40" t="s">
        <v>16</v>
      </c>
      <c r="AZ47" s="2">
        <v>95</v>
      </c>
    </row>
    <row r="48" spans="1:52" ht="15.75" x14ac:dyDescent="0.25">
      <c r="A48" s="4" t="s">
        <v>0</v>
      </c>
      <c r="B48" s="2">
        <v>145</v>
      </c>
      <c r="C48" s="5" t="s">
        <v>29</v>
      </c>
      <c r="D48" s="1" t="s">
        <v>1</v>
      </c>
      <c r="E48" s="5" t="s">
        <v>22</v>
      </c>
      <c r="F48" s="1" t="s">
        <v>3</v>
      </c>
      <c r="G48" s="5" t="s">
        <v>11</v>
      </c>
      <c r="H48" s="1" t="s">
        <v>17</v>
      </c>
      <c r="I48" s="5" t="s">
        <v>6</v>
      </c>
      <c r="J48" s="2">
        <v>95.9</v>
      </c>
      <c r="K48" s="4">
        <v>173.2</v>
      </c>
      <c r="L48" s="2">
        <v>66.3</v>
      </c>
      <c r="M48" s="4">
        <v>50.2</v>
      </c>
      <c r="N48" s="2">
        <v>2811</v>
      </c>
      <c r="O48" s="5" t="s">
        <v>18</v>
      </c>
      <c r="P48" s="1" t="s">
        <v>8</v>
      </c>
      <c r="Q48" s="4">
        <v>156</v>
      </c>
      <c r="R48" s="1" t="s">
        <v>31</v>
      </c>
      <c r="S48" s="4">
        <v>3.6</v>
      </c>
      <c r="T48" s="2">
        <v>3.9</v>
      </c>
      <c r="U48" s="4">
        <v>7</v>
      </c>
      <c r="V48" s="2">
        <v>145</v>
      </c>
      <c r="W48" s="4">
        <v>5000</v>
      </c>
      <c r="X48" s="2">
        <v>19</v>
      </c>
      <c r="Y48" s="4">
        <v>24</v>
      </c>
      <c r="Z48" s="2">
        <v>12964</v>
      </c>
      <c r="AC48" s="11">
        <f t="shared" si="0"/>
        <v>156</v>
      </c>
      <c r="AD48" s="11">
        <f t="shared" si="1"/>
        <v>145</v>
      </c>
      <c r="AE48" s="11">
        <f t="shared" si="2"/>
        <v>12964</v>
      </c>
      <c r="AF48" s="11">
        <f t="shared" si="3"/>
        <v>5000</v>
      </c>
      <c r="AG48" s="11">
        <f t="shared" si="4"/>
        <v>95.9</v>
      </c>
      <c r="AH48" s="11">
        <f t="shared" si="5"/>
        <v>66.3</v>
      </c>
      <c r="AJ48" s="40" t="s">
        <v>29</v>
      </c>
      <c r="AK48">
        <v>98</v>
      </c>
      <c r="AL48">
        <v>70</v>
      </c>
      <c r="AM48">
        <v>7689</v>
      </c>
      <c r="AN48">
        <v>4800</v>
      </c>
      <c r="AO48">
        <v>94.5</v>
      </c>
      <c r="AP48">
        <v>64</v>
      </c>
      <c r="AY48" s="40" t="s">
        <v>11</v>
      </c>
      <c r="AZ48" s="2">
        <v>145</v>
      </c>
    </row>
    <row r="49" spans="1:52" ht="15.75" x14ac:dyDescent="0.25">
      <c r="A49" s="4" t="s">
        <v>23</v>
      </c>
      <c r="B49" s="2">
        <v>85</v>
      </c>
      <c r="C49" s="5" t="s">
        <v>32</v>
      </c>
      <c r="D49" s="1" t="s">
        <v>1</v>
      </c>
      <c r="E49" s="5" t="s">
        <v>2</v>
      </c>
      <c r="F49" s="1" t="s">
        <v>8</v>
      </c>
      <c r="G49" s="5" t="s">
        <v>16</v>
      </c>
      <c r="H49" s="1" t="s">
        <v>17</v>
      </c>
      <c r="I49" s="5" t="s">
        <v>6</v>
      </c>
      <c r="J49" s="2">
        <v>96.5</v>
      </c>
      <c r="K49" s="4">
        <v>175.4</v>
      </c>
      <c r="L49" s="2">
        <v>65.2</v>
      </c>
      <c r="M49" s="4">
        <v>54.1</v>
      </c>
      <c r="N49" s="2">
        <v>2465</v>
      </c>
      <c r="O49" s="5" t="s">
        <v>18</v>
      </c>
      <c r="P49" s="1" t="s">
        <v>8</v>
      </c>
      <c r="Q49" s="4">
        <v>110</v>
      </c>
      <c r="R49" s="1" t="s">
        <v>9</v>
      </c>
      <c r="S49" s="4">
        <v>3.15</v>
      </c>
      <c r="T49" s="2">
        <v>3.58</v>
      </c>
      <c r="U49" s="4">
        <v>9</v>
      </c>
      <c r="V49" s="2">
        <v>101</v>
      </c>
      <c r="W49" s="4">
        <v>5800</v>
      </c>
      <c r="X49" s="2">
        <v>24</v>
      </c>
      <c r="Y49" s="4">
        <v>28</v>
      </c>
      <c r="Z49" s="2">
        <v>12945</v>
      </c>
      <c r="AC49" s="11">
        <f t="shared" si="0"/>
        <v>110</v>
      </c>
      <c r="AD49" s="11">
        <f t="shared" si="1"/>
        <v>101</v>
      </c>
      <c r="AE49" s="11">
        <f t="shared" si="2"/>
        <v>12945</v>
      </c>
      <c r="AF49" s="11">
        <f t="shared" si="3"/>
        <v>5800</v>
      </c>
      <c r="AG49" s="11">
        <f t="shared" si="4"/>
        <v>96.5</v>
      </c>
      <c r="AH49" s="11">
        <f t="shared" si="5"/>
        <v>65.2</v>
      </c>
      <c r="AJ49" s="40" t="s">
        <v>32</v>
      </c>
      <c r="AK49">
        <v>98</v>
      </c>
      <c r="AL49">
        <v>70</v>
      </c>
      <c r="AM49">
        <v>7738</v>
      </c>
      <c r="AN49">
        <v>4800</v>
      </c>
      <c r="AO49">
        <v>94.5</v>
      </c>
      <c r="AP49">
        <v>64.2</v>
      </c>
      <c r="AY49" s="40" t="s">
        <v>16</v>
      </c>
      <c r="AZ49" s="2">
        <v>101</v>
      </c>
    </row>
    <row r="50" spans="1:52" ht="15.75" x14ac:dyDescent="0.25">
      <c r="A50" s="4" t="s">
        <v>52</v>
      </c>
      <c r="B50" s="2">
        <v>103</v>
      </c>
      <c r="C50" s="5" t="s">
        <v>53</v>
      </c>
      <c r="D50" s="1" t="s">
        <v>1</v>
      </c>
      <c r="E50" s="5" t="s">
        <v>2</v>
      </c>
      <c r="F50" s="1" t="s">
        <v>8</v>
      </c>
      <c r="G50" s="5" t="s">
        <v>16</v>
      </c>
      <c r="H50" s="1" t="s">
        <v>5</v>
      </c>
      <c r="I50" s="5" t="s">
        <v>6</v>
      </c>
      <c r="J50" s="2">
        <v>104.3</v>
      </c>
      <c r="K50" s="4">
        <v>188.8</v>
      </c>
      <c r="L50" s="2">
        <v>67.2</v>
      </c>
      <c r="M50" s="4">
        <v>56.2</v>
      </c>
      <c r="N50" s="2">
        <v>2912</v>
      </c>
      <c r="O50" s="5" t="s">
        <v>18</v>
      </c>
      <c r="P50" s="1" t="s">
        <v>8</v>
      </c>
      <c r="Q50" s="4">
        <v>141</v>
      </c>
      <c r="R50" s="1" t="s">
        <v>9</v>
      </c>
      <c r="S50" s="4">
        <v>3.78</v>
      </c>
      <c r="T50" s="2">
        <v>3.15</v>
      </c>
      <c r="U50" s="4">
        <v>9.5</v>
      </c>
      <c r="V50" s="2">
        <v>114</v>
      </c>
      <c r="W50" s="4">
        <v>5400</v>
      </c>
      <c r="X50" s="2">
        <v>23</v>
      </c>
      <c r="Y50" s="4">
        <v>28</v>
      </c>
      <c r="Z50" s="2">
        <v>12940</v>
      </c>
      <c r="AC50" s="11">
        <f t="shared" si="0"/>
        <v>141</v>
      </c>
      <c r="AD50" s="11">
        <f t="shared" si="1"/>
        <v>114</v>
      </c>
      <c r="AE50" s="11">
        <f t="shared" si="2"/>
        <v>12940</v>
      </c>
      <c r="AF50" s="11">
        <f t="shared" si="3"/>
        <v>5400</v>
      </c>
      <c r="AG50" s="11">
        <f t="shared" si="4"/>
        <v>104.3</v>
      </c>
      <c r="AH50" s="11">
        <f t="shared" si="5"/>
        <v>67.2</v>
      </c>
      <c r="AJ50" s="40" t="s">
        <v>53</v>
      </c>
      <c r="AK50">
        <v>98</v>
      </c>
      <c r="AL50">
        <v>70</v>
      </c>
      <c r="AM50">
        <v>7775</v>
      </c>
      <c r="AN50">
        <v>4800</v>
      </c>
      <c r="AO50">
        <v>95.1</v>
      </c>
      <c r="AP50">
        <v>64.2</v>
      </c>
      <c r="AY50" s="40" t="s">
        <v>16</v>
      </c>
      <c r="AZ50" s="2">
        <v>114</v>
      </c>
    </row>
    <row r="51" spans="1:52" ht="15.75" x14ac:dyDescent="0.25">
      <c r="A51" s="4" t="s">
        <v>14</v>
      </c>
      <c r="B51" s="2">
        <v>104</v>
      </c>
      <c r="C51" s="5" t="s">
        <v>48</v>
      </c>
      <c r="D51" s="1" t="s">
        <v>1</v>
      </c>
      <c r="E51" s="5" t="s">
        <v>2</v>
      </c>
      <c r="F51" s="1" t="s">
        <v>8</v>
      </c>
      <c r="G51" s="5" t="s">
        <v>16</v>
      </c>
      <c r="H51" s="1" t="s">
        <v>17</v>
      </c>
      <c r="I51" s="5" t="s">
        <v>6</v>
      </c>
      <c r="J51" s="2">
        <v>99.1</v>
      </c>
      <c r="K51" s="4">
        <v>186.6</v>
      </c>
      <c r="L51" s="2">
        <v>66.5</v>
      </c>
      <c r="M51" s="4">
        <v>56.1</v>
      </c>
      <c r="N51" s="2">
        <v>2695</v>
      </c>
      <c r="O51" s="5" t="s">
        <v>18</v>
      </c>
      <c r="P51" s="1" t="s">
        <v>8</v>
      </c>
      <c r="Q51" s="4">
        <v>121</v>
      </c>
      <c r="R51" s="1" t="s">
        <v>9</v>
      </c>
      <c r="S51" s="4">
        <v>3.54</v>
      </c>
      <c r="T51" s="2">
        <v>3.07</v>
      </c>
      <c r="U51" s="4">
        <v>9.3000000000000007</v>
      </c>
      <c r="V51" s="2">
        <v>110</v>
      </c>
      <c r="W51" s="4">
        <v>5250</v>
      </c>
      <c r="X51" s="2">
        <v>21</v>
      </c>
      <c r="Y51" s="4">
        <v>28</v>
      </c>
      <c r="Z51" s="2">
        <v>12170</v>
      </c>
      <c r="AC51" s="11">
        <f t="shared" si="0"/>
        <v>121</v>
      </c>
      <c r="AD51" s="11">
        <f t="shared" si="1"/>
        <v>110</v>
      </c>
      <c r="AE51" s="11">
        <f t="shared" si="2"/>
        <v>12170</v>
      </c>
      <c r="AF51" s="11">
        <f t="shared" si="3"/>
        <v>5250</v>
      </c>
      <c r="AG51" s="11">
        <f t="shared" si="4"/>
        <v>99.1</v>
      </c>
      <c r="AH51" s="11">
        <f t="shared" si="5"/>
        <v>66.5</v>
      </c>
      <c r="AJ51" s="40" t="s">
        <v>48</v>
      </c>
      <c r="AK51">
        <v>98</v>
      </c>
      <c r="AL51">
        <v>70</v>
      </c>
      <c r="AM51">
        <v>7775</v>
      </c>
      <c r="AN51">
        <v>4800</v>
      </c>
      <c r="AO51">
        <v>95.7</v>
      </c>
      <c r="AP51">
        <v>64.2</v>
      </c>
      <c r="AY51" s="40" t="s">
        <v>16</v>
      </c>
      <c r="AZ51" s="2">
        <v>110</v>
      </c>
    </row>
    <row r="52" spans="1:52" ht="15.75" x14ac:dyDescent="0.25">
      <c r="A52" s="4" t="s">
        <v>23</v>
      </c>
      <c r="B52" s="2">
        <v>161</v>
      </c>
      <c r="C52" s="5" t="s">
        <v>44</v>
      </c>
      <c r="D52" s="1" t="s">
        <v>1</v>
      </c>
      <c r="E52" s="5" t="s">
        <v>2</v>
      </c>
      <c r="F52" s="1" t="s">
        <v>8</v>
      </c>
      <c r="G52" s="5" t="s">
        <v>16</v>
      </c>
      <c r="H52" s="1" t="s">
        <v>5</v>
      </c>
      <c r="I52" s="5" t="s">
        <v>6</v>
      </c>
      <c r="J52" s="2">
        <v>107.9</v>
      </c>
      <c r="K52" s="4">
        <v>186.7</v>
      </c>
      <c r="L52" s="2">
        <v>68.400000000000006</v>
      </c>
      <c r="M52" s="4">
        <v>56.7</v>
      </c>
      <c r="N52" s="2">
        <v>3020</v>
      </c>
      <c r="O52" s="5" t="s">
        <v>26</v>
      </c>
      <c r="P52" s="1" t="s">
        <v>8</v>
      </c>
      <c r="Q52" s="4">
        <v>120</v>
      </c>
      <c r="R52" s="1" t="s">
        <v>9</v>
      </c>
      <c r="S52" s="4">
        <v>3.46</v>
      </c>
      <c r="T52" s="2">
        <v>3.19</v>
      </c>
      <c r="U52" s="4">
        <v>8.4</v>
      </c>
      <c r="V52" s="2">
        <v>97</v>
      </c>
      <c r="W52" s="4">
        <v>5000</v>
      </c>
      <c r="X52" s="2">
        <v>19</v>
      </c>
      <c r="Y52" s="4">
        <v>24</v>
      </c>
      <c r="Z52" s="2">
        <v>11900</v>
      </c>
      <c r="AC52" s="11">
        <f t="shared" si="0"/>
        <v>120</v>
      </c>
      <c r="AD52" s="11">
        <f t="shared" si="1"/>
        <v>97</v>
      </c>
      <c r="AE52" s="11">
        <f t="shared" si="2"/>
        <v>11900</v>
      </c>
      <c r="AF52" s="11">
        <f t="shared" si="3"/>
        <v>5000</v>
      </c>
      <c r="AG52" s="11">
        <f t="shared" si="4"/>
        <v>107.9</v>
      </c>
      <c r="AH52" s="11">
        <f t="shared" si="5"/>
        <v>68.400000000000006</v>
      </c>
      <c r="AJ52" s="40" t="s">
        <v>44</v>
      </c>
      <c r="AK52">
        <v>98</v>
      </c>
      <c r="AL52">
        <v>70</v>
      </c>
      <c r="AM52">
        <v>7788</v>
      </c>
      <c r="AN52">
        <v>4800</v>
      </c>
      <c r="AO52">
        <v>95.7</v>
      </c>
      <c r="AP52">
        <v>64.2</v>
      </c>
      <c r="AY52" s="40" t="s">
        <v>16</v>
      </c>
      <c r="AZ52" s="2">
        <v>97</v>
      </c>
    </row>
    <row r="53" spans="1:52" ht="15.75" x14ac:dyDescent="0.25">
      <c r="A53" s="4" t="s">
        <v>0</v>
      </c>
      <c r="B53" s="2">
        <v>150</v>
      </c>
      <c r="C53" s="5" t="s">
        <v>48</v>
      </c>
      <c r="D53" s="1" t="s">
        <v>1</v>
      </c>
      <c r="E53" s="5" t="s">
        <v>2</v>
      </c>
      <c r="F53" s="1" t="s">
        <v>3</v>
      </c>
      <c r="G53" s="5" t="s">
        <v>11</v>
      </c>
      <c r="H53" s="1" t="s">
        <v>17</v>
      </c>
      <c r="I53" s="5" t="s">
        <v>6</v>
      </c>
      <c r="J53" s="2">
        <v>99.1</v>
      </c>
      <c r="K53" s="4">
        <v>186.6</v>
      </c>
      <c r="L53" s="2">
        <v>66.5</v>
      </c>
      <c r="M53" s="4">
        <v>56.1</v>
      </c>
      <c r="N53" s="2">
        <v>2658</v>
      </c>
      <c r="O53" s="5" t="s">
        <v>18</v>
      </c>
      <c r="P53" s="1" t="s">
        <v>8</v>
      </c>
      <c r="Q53" s="4">
        <v>121</v>
      </c>
      <c r="R53" s="1" t="s">
        <v>9</v>
      </c>
      <c r="S53" s="4">
        <v>3.54</v>
      </c>
      <c r="T53" s="2">
        <v>3.07</v>
      </c>
      <c r="U53" s="4">
        <v>9.31</v>
      </c>
      <c r="V53" s="2">
        <v>110</v>
      </c>
      <c r="W53" s="4">
        <v>5250</v>
      </c>
      <c r="X53" s="2">
        <v>21</v>
      </c>
      <c r="Y53" s="4">
        <v>28</v>
      </c>
      <c r="Z53" s="2">
        <v>11850</v>
      </c>
      <c r="AC53" s="11">
        <f t="shared" si="0"/>
        <v>121</v>
      </c>
      <c r="AD53" s="11">
        <f t="shared" si="1"/>
        <v>110</v>
      </c>
      <c r="AE53" s="11">
        <f t="shared" si="2"/>
        <v>11850</v>
      </c>
      <c r="AF53" s="11">
        <f t="shared" si="3"/>
        <v>5250</v>
      </c>
      <c r="AG53" s="11">
        <f t="shared" si="4"/>
        <v>99.1</v>
      </c>
      <c r="AH53" s="11">
        <f t="shared" si="5"/>
        <v>66.5</v>
      </c>
      <c r="AJ53" s="40" t="s">
        <v>48</v>
      </c>
      <c r="AK53">
        <v>98</v>
      </c>
      <c r="AL53">
        <v>73</v>
      </c>
      <c r="AM53">
        <v>7799</v>
      </c>
      <c r="AN53">
        <v>4800</v>
      </c>
      <c r="AO53">
        <v>95.7</v>
      </c>
      <c r="AP53">
        <v>64.2</v>
      </c>
      <c r="AY53" s="40" t="s">
        <v>11</v>
      </c>
      <c r="AZ53" s="2">
        <v>110</v>
      </c>
    </row>
    <row r="54" spans="1:52" ht="15.75" x14ac:dyDescent="0.25">
      <c r="A54" s="4" t="s">
        <v>23</v>
      </c>
      <c r="B54" s="2">
        <v>85</v>
      </c>
      <c r="C54" s="5" t="s">
        <v>49</v>
      </c>
      <c r="D54" s="1" t="s">
        <v>1</v>
      </c>
      <c r="E54" s="5" t="s">
        <v>22</v>
      </c>
      <c r="F54" s="1" t="s">
        <v>8</v>
      </c>
      <c r="G54" s="5" t="s">
        <v>21</v>
      </c>
      <c r="H54" s="1" t="s">
        <v>19</v>
      </c>
      <c r="I54" s="5" t="s">
        <v>6</v>
      </c>
      <c r="J54" s="2">
        <v>96.9</v>
      </c>
      <c r="K54" s="4">
        <v>173.6</v>
      </c>
      <c r="L54" s="2">
        <v>65.400000000000006</v>
      </c>
      <c r="M54" s="4">
        <v>54.9</v>
      </c>
      <c r="N54" s="2">
        <v>2650</v>
      </c>
      <c r="O54" s="5" t="s">
        <v>47</v>
      </c>
      <c r="P54" s="1" t="s">
        <v>8</v>
      </c>
      <c r="Q54" s="4">
        <v>108</v>
      </c>
      <c r="R54" s="1" t="s">
        <v>9</v>
      </c>
      <c r="S54" s="4">
        <v>3.62</v>
      </c>
      <c r="T54" s="2">
        <v>2.64</v>
      </c>
      <c r="U54" s="4">
        <v>7.7</v>
      </c>
      <c r="V54" s="2">
        <v>111</v>
      </c>
      <c r="W54" s="4">
        <v>4800</v>
      </c>
      <c r="X54" s="2">
        <v>23</v>
      </c>
      <c r="Y54" s="4">
        <v>23</v>
      </c>
      <c r="Z54" s="2">
        <v>11694</v>
      </c>
      <c r="AC54" s="11">
        <f t="shared" si="0"/>
        <v>108</v>
      </c>
      <c r="AD54" s="11">
        <f t="shared" si="1"/>
        <v>111</v>
      </c>
      <c r="AE54" s="11">
        <f t="shared" si="2"/>
        <v>11694</v>
      </c>
      <c r="AF54" s="11">
        <f t="shared" si="3"/>
        <v>4800</v>
      </c>
      <c r="AG54" s="11">
        <f t="shared" si="4"/>
        <v>96.9</v>
      </c>
      <c r="AH54" s="11">
        <f t="shared" si="5"/>
        <v>65.400000000000006</v>
      </c>
      <c r="AJ54" s="40" t="s">
        <v>49</v>
      </c>
      <c r="AK54">
        <v>98</v>
      </c>
      <c r="AL54">
        <v>73</v>
      </c>
      <c r="AM54">
        <v>7895</v>
      </c>
      <c r="AN54">
        <v>4800</v>
      </c>
      <c r="AO54">
        <v>95.7</v>
      </c>
      <c r="AP54">
        <v>64.400000000000006</v>
      </c>
      <c r="AY54" s="40" t="s">
        <v>21</v>
      </c>
      <c r="AZ54" s="2">
        <v>111</v>
      </c>
    </row>
    <row r="55" spans="1:52" ht="15.75" x14ac:dyDescent="0.25">
      <c r="A55" s="4" t="s">
        <v>14</v>
      </c>
      <c r="B55" s="2">
        <v>134</v>
      </c>
      <c r="C55" s="5" t="s">
        <v>50</v>
      </c>
      <c r="D55" s="1" t="s">
        <v>1</v>
      </c>
      <c r="E55" s="5" t="s">
        <v>2</v>
      </c>
      <c r="F55" s="1" t="s">
        <v>3</v>
      </c>
      <c r="G55" s="5" t="s">
        <v>11</v>
      </c>
      <c r="H55" s="1" t="s">
        <v>5</v>
      </c>
      <c r="I55" s="5" t="s">
        <v>6</v>
      </c>
      <c r="J55" s="2">
        <v>98.4</v>
      </c>
      <c r="K55" s="4">
        <v>176.2</v>
      </c>
      <c r="L55" s="2">
        <v>65.599999999999994</v>
      </c>
      <c r="M55" s="4">
        <v>52</v>
      </c>
      <c r="N55" s="2">
        <v>2714</v>
      </c>
      <c r="O55" s="5" t="s">
        <v>18</v>
      </c>
      <c r="P55" s="1" t="s">
        <v>8</v>
      </c>
      <c r="Q55" s="4">
        <v>146</v>
      </c>
      <c r="R55" s="1" t="s">
        <v>9</v>
      </c>
      <c r="S55" s="4">
        <v>3.62</v>
      </c>
      <c r="T55" s="2">
        <v>3.5</v>
      </c>
      <c r="U55" s="4">
        <v>9.3000000000000007</v>
      </c>
      <c r="V55" s="2">
        <v>116</v>
      </c>
      <c r="W55" s="4">
        <v>4800</v>
      </c>
      <c r="X55" s="2">
        <v>24</v>
      </c>
      <c r="Y55" s="4">
        <v>30</v>
      </c>
      <c r="Z55" s="2">
        <v>11549</v>
      </c>
      <c r="AC55" s="11">
        <f t="shared" si="0"/>
        <v>146</v>
      </c>
      <c r="AD55" s="11">
        <f t="shared" si="1"/>
        <v>116</v>
      </c>
      <c r="AE55" s="11">
        <f t="shared" si="2"/>
        <v>11549</v>
      </c>
      <c r="AF55" s="11">
        <f t="shared" si="3"/>
        <v>4800</v>
      </c>
      <c r="AG55" s="11">
        <f t="shared" si="4"/>
        <v>98.4</v>
      </c>
      <c r="AH55" s="11">
        <f t="shared" si="5"/>
        <v>65.599999999999994</v>
      </c>
      <c r="AJ55" s="40" t="s">
        <v>50</v>
      </c>
      <c r="AK55">
        <v>98</v>
      </c>
      <c r="AL55">
        <v>73</v>
      </c>
      <c r="AM55">
        <v>7898</v>
      </c>
      <c r="AN55">
        <v>4800</v>
      </c>
      <c r="AO55">
        <v>95.7</v>
      </c>
      <c r="AP55">
        <v>64.400000000000006</v>
      </c>
      <c r="AY55" s="40" t="s">
        <v>11</v>
      </c>
      <c r="AZ55" s="2">
        <v>116</v>
      </c>
    </row>
    <row r="56" spans="1:52" ht="15.75" x14ac:dyDescent="0.25">
      <c r="A56" s="4" t="s">
        <v>23</v>
      </c>
      <c r="B56" s="2">
        <v>102</v>
      </c>
      <c r="C56" s="5" t="s">
        <v>49</v>
      </c>
      <c r="D56" s="1" t="s">
        <v>1</v>
      </c>
      <c r="E56" s="5" t="s">
        <v>22</v>
      </c>
      <c r="F56" s="1" t="s">
        <v>8</v>
      </c>
      <c r="G56" s="5" t="s">
        <v>16</v>
      </c>
      <c r="H56" s="1" t="s">
        <v>19</v>
      </c>
      <c r="I56" s="5" t="s">
        <v>6</v>
      </c>
      <c r="J56" s="2">
        <v>97</v>
      </c>
      <c r="K56" s="4">
        <v>172</v>
      </c>
      <c r="L56" s="2">
        <v>65.400000000000006</v>
      </c>
      <c r="M56" s="4">
        <v>54.3</v>
      </c>
      <c r="N56" s="2">
        <v>2510</v>
      </c>
      <c r="O56" s="5" t="s">
        <v>47</v>
      </c>
      <c r="P56" s="1" t="s">
        <v>8</v>
      </c>
      <c r="Q56" s="4">
        <v>108</v>
      </c>
      <c r="R56" s="1" t="s">
        <v>9</v>
      </c>
      <c r="S56" s="4">
        <v>3.62</v>
      </c>
      <c r="T56" s="2">
        <v>2.64</v>
      </c>
      <c r="U56" s="4">
        <v>7.7</v>
      </c>
      <c r="V56" s="2">
        <v>111</v>
      </c>
      <c r="W56" s="4">
        <v>4800</v>
      </c>
      <c r="X56" s="2">
        <v>24</v>
      </c>
      <c r="Y56" s="4">
        <v>29</v>
      </c>
      <c r="Z56" s="2">
        <v>11259</v>
      </c>
      <c r="AC56" s="11">
        <f t="shared" si="0"/>
        <v>108</v>
      </c>
      <c r="AD56" s="11">
        <f t="shared" si="1"/>
        <v>111</v>
      </c>
      <c r="AE56" s="11">
        <f t="shared" si="2"/>
        <v>11259</v>
      </c>
      <c r="AF56" s="11">
        <f t="shared" si="3"/>
        <v>4800</v>
      </c>
      <c r="AG56" s="11">
        <f t="shared" si="4"/>
        <v>97</v>
      </c>
      <c r="AH56" s="11">
        <f t="shared" si="5"/>
        <v>65.400000000000006</v>
      </c>
      <c r="AJ56" s="40" t="s">
        <v>49</v>
      </c>
      <c r="AK56">
        <v>98</v>
      </c>
      <c r="AL56">
        <v>76</v>
      </c>
      <c r="AM56">
        <v>7898</v>
      </c>
      <c r="AN56">
        <v>4800</v>
      </c>
      <c r="AO56">
        <v>95.7</v>
      </c>
      <c r="AP56">
        <v>64.400000000000006</v>
      </c>
      <c r="AY56" s="40" t="s">
        <v>16</v>
      </c>
      <c r="AZ56" s="2">
        <v>111</v>
      </c>
    </row>
    <row r="57" spans="1:52" ht="15.75" x14ac:dyDescent="0.25">
      <c r="A57" s="4" t="s">
        <v>30</v>
      </c>
      <c r="B57" s="2">
        <v>65</v>
      </c>
      <c r="C57" s="5" t="s">
        <v>50</v>
      </c>
      <c r="D57" s="1" t="s">
        <v>1</v>
      </c>
      <c r="E57" s="5" t="s">
        <v>2</v>
      </c>
      <c r="F57" s="1" t="s">
        <v>8</v>
      </c>
      <c r="G57" s="5" t="s">
        <v>11</v>
      </c>
      <c r="H57" s="1" t="s">
        <v>17</v>
      </c>
      <c r="I57" s="5" t="s">
        <v>6</v>
      </c>
      <c r="J57" s="2">
        <v>102.4</v>
      </c>
      <c r="K57" s="4">
        <v>175.6</v>
      </c>
      <c r="L57" s="2">
        <v>66.5</v>
      </c>
      <c r="M57" s="4">
        <v>53.9</v>
      </c>
      <c r="N57" s="2">
        <v>2458</v>
      </c>
      <c r="O57" s="5" t="s">
        <v>18</v>
      </c>
      <c r="P57" s="1" t="s">
        <v>8</v>
      </c>
      <c r="Q57" s="4">
        <v>122</v>
      </c>
      <c r="R57" s="1" t="s">
        <v>9</v>
      </c>
      <c r="S57" s="4">
        <v>3.31</v>
      </c>
      <c r="T57" s="2">
        <v>3.54</v>
      </c>
      <c r="U57" s="4">
        <v>8.6999999999999993</v>
      </c>
      <c r="V57" s="2">
        <v>92</v>
      </c>
      <c r="W57" s="4">
        <v>4200</v>
      </c>
      <c r="X57" s="2">
        <v>27</v>
      </c>
      <c r="Y57" s="4">
        <v>32</v>
      </c>
      <c r="Z57" s="2">
        <v>11248</v>
      </c>
      <c r="AC57" s="11">
        <f t="shared" si="0"/>
        <v>122</v>
      </c>
      <c r="AD57" s="11">
        <f t="shared" si="1"/>
        <v>92</v>
      </c>
      <c r="AE57" s="11">
        <f t="shared" si="2"/>
        <v>11248</v>
      </c>
      <c r="AF57" s="11">
        <f t="shared" si="3"/>
        <v>4200</v>
      </c>
      <c r="AG57" s="11">
        <f t="shared" si="4"/>
        <v>102.4</v>
      </c>
      <c r="AH57" s="11">
        <f t="shared" si="5"/>
        <v>66.5</v>
      </c>
      <c r="AJ57" s="40" t="s">
        <v>50</v>
      </c>
      <c r="AK57">
        <v>98</v>
      </c>
      <c r="AL57">
        <v>76</v>
      </c>
      <c r="AM57">
        <v>7957</v>
      </c>
      <c r="AN57">
        <v>4800</v>
      </c>
      <c r="AO57">
        <v>95.7</v>
      </c>
      <c r="AP57">
        <v>64.400000000000006</v>
      </c>
      <c r="AY57" s="40" t="s">
        <v>11</v>
      </c>
      <c r="AZ57" s="2">
        <v>92</v>
      </c>
    </row>
    <row r="58" spans="1:52" ht="15.75" x14ac:dyDescent="0.25">
      <c r="A58" s="4" t="s">
        <v>23</v>
      </c>
      <c r="B58" s="2">
        <v>115</v>
      </c>
      <c r="C58" s="5" t="s">
        <v>35</v>
      </c>
      <c r="D58" s="1" t="s">
        <v>1</v>
      </c>
      <c r="E58" s="5" t="s">
        <v>2</v>
      </c>
      <c r="F58" s="1" t="s">
        <v>8</v>
      </c>
      <c r="G58" s="5" t="s">
        <v>11</v>
      </c>
      <c r="H58" s="1" t="s">
        <v>17</v>
      </c>
      <c r="I58" s="5" t="s">
        <v>6</v>
      </c>
      <c r="J58" s="2">
        <v>98.8</v>
      </c>
      <c r="K58" s="4">
        <v>177.8</v>
      </c>
      <c r="L58" s="2">
        <v>66.5</v>
      </c>
      <c r="M58" s="4">
        <v>55.5</v>
      </c>
      <c r="N58" s="2">
        <v>2425</v>
      </c>
      <c r="O58" s="5" t="s">
        <v>18</v>
      </c>
      <c r="P58" s="1" t="s">
        <v>8</v>
      </c>
      <c r="Q58" s="4">
        <v>122</v>
      </c>
      <c r="R58" s="1" t="s">
        <v>28</v>
      </c>
      <c r="S58" s="4">
        <v>3.39</v>
      </c>
      <c r="T58" s="2">
        <v>3.39</v>
      </c>
      <c r="U58" s="4">
        <v>8.6</v>
      </c>
      <c r="V58" s="2">
        <v>84</v>
      </c>
      <c r="W58" s="4">
        <v>4800</v>
      </c>
      <c r="X58" s="2">
        <v>26</v>
      </c>
      <c r="Y58" s="4">
        <v>32</v>
      </c>
      <c r="Z58" s="2">
        <v>11245</v>
      </c>
      <c r="AC58" s="11">
        <f t="shared" si="0"/>
        <v>122</v>
      </c>
      <c r="AD58" s="11">
        <f t="shared" si="1"/>
        <v>84</v>
      </c>
      <c r="AE58" s="11">
        <f t="shared" si="2"/>
        <v>11245</v>
      </c>
      <c r="AF58" s="11">
        <f t="shared" si="3"/>
        <v>4800</v>
      </c>
      <c r="AG58" s="11">
        <f t="shared" si="4"/>
        <v>98.8</v>
      </c>
      <c r="AH58" s="11">
        <f t="shared" si="5"/>
        <v>66.5</v>
      </c>
      <c r="AJ58" s="40" t="s">
        <v>35</v>
      </c>
      <c r="AK58">
        <v>98</v>
      </c>
      <c r="AL58">
        <v>76</v>
      </c>
      <c r="AM58">
        <v>7957</v>
      </c>
      <c r="AN58">
        <v>4800</v>
      </c>
      <c r="AO58">
        <v>95.7</v>
      </c>
      <c r="AP58">
        <v>64.400000000000006</v>
      </c>
      <c r="AY58" s="40" t="s">
        <v>11</v>
      </c>
      <c r="AZ58" s="2">
        <v>84</v>
      </c>
    </row>
    <row r="59" spans="1:52" ht="15.75" x14ac:dyDescent="0.25">
      <c r="A59" s="4" t="s">
        <v>14</v>
      </c>
      <c r="B59" s="2">
        <v>134</v>
      </c>
      <c r="C59" s="5" t="s">
        <v>50</v>
      </c>
      <c r="D59" s="1" t="s">
        <v>1</v>
      </c>
      <c r="E59" s="5" t="s">
        <v>2</v>
      </c>
      <c r="F59" s="1" t="s">
        <v>3</v>
      </c>
      <c r="G59" s="5" t="s">
        <v>39</v>
      </c>
      <c r="H59" s="1" t="s">
        <v>5</v>
      </c>
      <c r="I59" s="5" t="s">
        <v>6</v>
      </c>
      <c r="J59" s="2">
        <v>98.4</v>
      </c>
      <c r="K59" s="4">
        <v>176.2</v>
      </c>
      <c r="L59" s="2">
        <v>65.599999999999994</v>
      </c>
      <c r="M59" s="4">
        <v>52</v>
      </c>
      <c r="N59" s="2">
        <v>2679</v>
      </c>
      <c r="O59" s="5" t="s">
        <v>18</v>
      </c>
      <c r="P59" s="1" t="s">
        <v>8</v>
      </c>
      <c r="Q59" s="4">
        <v>146</v>
      </c>
      <c r="R59" s="1" t="s">
        <v>9</v>
      </c>
      <c r="S59" s="4">
        <v>3.62</v>
      </c>
      <c r="T59" s="2">
        <v>3.5</v>
      </c>
      <c r="U59" s="4">
        <v>9.3000000000000007</v>
      </c>
      <c r="V59" s="2">
        <v>116</v>
      </c>
      <c r="W59" s="4">
        <v>4800</v>
      </c>
      <c r="X59" s="2">
        <v>24</v>
      </c>
      <c r="Y59" s="4">
        <v>30</v>
      </c>
      <c r="Z59" s="2">
        <v>11199</v>
      </c>
      <c r="AC59" s="11">
        <f t="shared" si="0"/>
        <v>146</v>
      </c>
      <c r="AD59" s="11">
        <f t="shared" si="1"/>
        <v>116</v>
      </c>
      <c r="AE59" s="11">
        <f t="shared" si="2"/>
        <v>11199</v>
      </c>
      <c r="AF59" s="11">
        <f t="shared" si="3"/>
        <v>4800</v>
      </c>
      <c r="AG59" s="11">
        <f t="shared" si="4"/>
        <v>98.4</v>
      </c>
      <c r="AH59" s="11">
        <f t="shared" si="5"/>
        <v>65.599999999999994</v>
      </c>
      <c r="AJ59" s="40" t="s">
        <v>50</v>
      </c>
      <c r="AK59">
        <v>98</v>
      </c>
      <c r="AL59">
        <v>76</v>
      </c>
      <c r="AM59">
        <v>7975</v>
      </c>
      <c r="AN59">
        <v>4900</v>
      </c>
      <c r="AO59">
        <v>95.7</v>
      </c>
      <c r="AP59">
        <v>64.400000000000006</v>
      </c>
      <c r="AY59" s="40" t="s">
        <v>39</v>
      </c>
      <c r="AZ59" s="2">
        <v>116</v>
      </c>
    </row>
    <row r="60" spans="1:52" ht="15.75" x14ac:dyDescent="0.25">
      <c r="A60" s="4" t="s">
        <v>30</v>
      </c>
      <c r="B60" s="2">
        <v>65</v>
      </c>
      <c r="C60" s="5" t="s">
        <v>50</v>
      </c>
      <c r="D60" s="1" t="s">
        <v>1</v>
      </c>
      <c r="E60" s="5" t="s">
        <v>2</v>
      </c>
      <c r="F60" s="1" t="s">
        <v>8</v>
      </c>
      <c r="G60" s="5" t="s">
        <v>16</v>
      </c>
      <c r="H60" s="1" t="s">
        <v>17</v>
      </c>
      <c r="I60" s="5" t="s">
        <v>6</v>
      </c>
      <c r="J60" s="2">
        <v>102.4</v>
      </c>
      <c r="K60" s="4">
        <v>175.6</v>
      </c>
      <c r="L60" s="2">
        <v>66.5</v>
      </c>
      <c r="M60" s="4">
        <v>54.9</v>
      </c>
      <c r="N60" s="2">
        <v>2414</v>
      </c>
      <c r="O60" s="5" t="s">
        <v>18</v>
      </c>
      <c r="P60" s="1" t="s">
        <v>8</v>
      </c>
      <c r="Q60" s="4">
        <v>122</v>
      </c>
      <c r="R60" s="1" t="s">
        <v>9</v>
      </c>
      <c r="S60" s="4">
        <v>3.31</v>
      </c>
      <c r="T60" s="2">
        <v>3.54</v>
      </c>
      <c r="U60" s="4">
        <v>8.6999999999999993</v>
      </c>
      <c r="V60" s="2">
        <v>92</v>
      </c>
      <c r="W60" s="4">
        <v>4200</v>
      </c>
      <c r="X60" s="2">
        <v>27</v>
      </c>
      <c r="Y60" s="4">
        <v>32</v>
      </c>
      <c r="Z60" s="2">
        <v>10898</v>
      </c>
      <c r="AC60" s="11">
        <f t="shared" si="0"/>
        <v>122</v>
      </c>
      <c r="AD60" s="11">
        <f t="shared" si="1"/>
        <v>92</v>
      </c>
      <c r="AE60" s="11">
        <f t="shared" si="2"/>
        <v>10898</v>
      </c>
      <c r="AF60" s="11">
        <f t="shared" si="3"/>
        <v>4200</v>
      </c>
      <c r="AG60" s="11">
        <f t="shared" si="4"/>
        <v>102.4</v>
      </c>
      <c r="AH60" s="11">
        <f t="shared" si="5"/>
        <v>66.5</v>
      </c>
      <c r="AJ60" s="40" t="s">
        <v>50</v>
      </c>
      <c r="AK60">
        <v>103</v>
      </c>
      <c r="AL60">
        <v>76</v>
      </c>
      <c r="AM60">
        <v>7995</v>
      </c>
      <c r="AN60">
        <v>5000</v>
      </c>
      <c r="AO60">
        <v>95.7</v>
      </c>
      <c r="AP60">
        <v>64.400000000000006</v>
      </c>
      <c r="AY60" s="40" t="s">
        <v>16</v>
      </c>
      <c r="AZ60" s="2">
        <v>92</v>
      </c>
    </row>
    <row r="61" spans="1:52" ht="15.75" x14ac:dyDescent="0.25">
      <c r="A61" s="4" t="s">
        <v>30</v>
      </c>
      <c r="B61" s="2">
        <v>65</v>
      </c>
      <c r="C61" s="5" t="s">
        <v>50</v>
      </c>
      <c r="D61" s="1" t="s">
        <v>36</v>
      </c>
      <c r="E61" s="5" t="s">
        <v>22</v>
      </c>
      <c r="F61" s="1" t="s">
        <v>8</v>
      </c>
      <c r="G61" s="5" t="s">
        <v>16</v>
      </c>
      <c r="H61" s="1" t="s">
        <v>17</v>
      </c>
      <c r="I61" s="5" t="s">
        <v>6</v>
      </c>
      <c r="J61" s="2">
        <v>102.4</v>
      </c>
      <c r="K61" s="4">
        <v>175.6</v>
      </c>
      <c r="L61" s="2">
        <v>66.5</v>
      </c>
      <c r="M61" s="4">
        <v>54.9</v>
      </c>
      <c r="N61" s="2">
        <v>2480</v>
      </c>
      <c r="O61" s="5" t="s">
        <v>18</v>
      </c>
      <c r="P61" s="1" t="s">
        <v>8</v>
      </c>
      <c r="Q61" s="4">
        <v>110</v>
      </c>
      <c r="R61" s="1" t="s">
        <v>37</v>
      </c>
      <c r="S61" s="4">
        <v>3.27</v>
      </c>
      <c r="T61" s="2">
        <v>3.35</v>
      </c>
      <c r="U61" s="4">
        <v>22.5</v>
      </c>
      <c r="V61" s="2">
        <v>73</v>
      </c>
      <c r="W61" s="4">
        <v>4500</v>
      </c>
      <c r="X61" s="2">
        <v>30</v>
      </c>
      <c r="Y61" s="4">
        <v>33</v>
      </c>
      <c r="Z61" s="2">
        <v>10698</v>
      </c>
      <c r="AC61" s="11">
        <f t="shared" si="0"/>
        <v>110</v>
      </c>
      <c r="AD61" s="11">
        <f t="shared" si="1"/>
        <v>73</v>
      </c>
      <c r="AE61" s="11">
        <f t="shared" si="2"/>
        <v>10698</v>
      </c>
      <c r="AF61" s="11">
        <f t="shared" si="3"/>
        <v>4500</v>
      </c>
      <c r="AG61" s="11">
        <f t="shared" si="4"/>
        <v>102.4</v>
      </c>
      <c r="AH61" s="11">
        <f t="shared" si="5"/>
        <v>66.5</v>
      </c>
      <c r="AJ61" s="40" t="s">
        <v>50</v>
      </c>
      <c r="AK61">
        <v>108</v>
      </c>
      <c r="AL61">
        <v>82</v>
      </c>
      <c r="AM61">
        <v>7999</v>
      </c>
      <c r="AN61">
        <v>5000</v>
      </c>
      <c r="AO61">
        <v>95.7</v>
      </c>
      <c r="AP61">
        <v>64.400000000000006</v>
      </c>
      <c r="AY61" s="40" t="s">
        <v>16</v>
      </c>
      <c r="AZ61" s="2">
        <v>73</v>
      </c>
    </row>
    <row r="62" spans="1:52" ht="15.75" x14ac:dyDescent="0.25">
      <c r="A62" s="4" t="s">
        <v>10</v>
      </c>
      <c r="B62" s="2">
        <v>129</v>
      </c>
      <c r="C62" s="5" t="s">
        <v>35</v>
      </c>
      <c r="D62" s="1" t="s">
        <v>1</v>
      </c>
      <c r="E62" s="5" t="s">
        <v>2</v>
      </c>
      <c r="F62" s="1" t="s">
        <v>3</v>
      </c>
      <c r="G62" s="5" t="s">
        <v>11</v>
      </c>
      <c r="H62" s="1" t="s">
        <v>17</v>
      </c>
      <c r="I62" s="5" t="s">
        <v>6</v>
      </c>
      <c r="J62" s="2">
        <v>98.8</v>
      </c>
      <c r="K62" s="4">
        <v>177.8</v>
      </c>
      <c r="L62" s="2">
        <v>66.5</v>
      </c>
      <c r="M62" s="4">
        <v>53.7</v>
      </c>
      <c r="N62" s="2">
        <v>2385</v>
      </c>
      <c r="O62" s="5" t="s">
        <v>18</v>
      </c>
      <c r="P62" s="1" t="s">
        <v>8</v>
      </c>
      <c r="Q62" s="4">
        <v>122</v>
      </c>
      <c r="R62" s="1" t="s">
        <v>28</v>
      </c>
      <c r="S62" s="4">
        <v>3.39</v>
      </c>
      <c r="T62" s="2">
        <v>3.39</v>
      </c>
      <c r="U62" s="4">
        <v>8.6</v>
      </c>
      <c r="V62" s="2">
        <v>84</v>
      </c>
      <c r="W62" s="4">
        <v>4800</v>
      </c>
      <c r="X62" s="2">
        <v>26</v>
      </c>
      <c r="Y62" s="4">
        <v>32</v>
      </c>
      <c r="Z62" s="2">
        <v>10595</v>
      </c>
      <c r="AC62" s="11">
        <f t="shared" si="0"/>
        <v>122</v>
      </c>
      <c r="AD62" s="11">
        <f t="shared" si="1"/>
        <v>84</v>
      </c>
      <c r="AE62" s="11">
        <f t="shared" si="2"/>
        <v>10595</v>
      </c>
      <c r="AF62" s="11">
        <f t="shared" si="3"/>
        <v>4800</v>
      </c>
      <c r="AG62" s="11">
        <f t="shared" si="4"/>
        <v>98.8</v>
      </c>
      <c r="AH62" s="11">
        <f t="shared" si="5"/>
        <v>66.5</v>
      </c>
      <c r="AJ62" s="40" t="s">
        <v>35</v>
      </c>
      <c r="AK62">
        <v>108</v>
      </c>
      <c r="AL62">
        <v>82</v>
      </c>
      <c r="AM62">
        <v>8013</v>
      </c>
      <c r="AN62">
        <v>5000</v>
      </c>
      <c r="AO62">
        <v>95.7</v>
      </c>
      <c r="AP62">
        <v>64.400000000000006</v>
      </c>
      <c r="AY62" s="40" t="s">
        <v>11</v>
      </c>
      <c r="AZ62" s="2">
        <v>84</v>
      </c>
    </row>
    <row r="63" spans="1:52" ht="15.75" x14ac:dyDescent="0.25">
      <c r="A63" s="4" t="s">
        <v>10</v>
      </c>
      <c r="B63" s="2">
        <v>107</v>
      </c>
      <c r="C63" s="5" t="s">
        <v>32</v>
      </c>
      <c r="D63" s="1" t="s">
        <v>1</v>
      </c>
      <c r="E63" s="5" t="s">
        <v>2</v>
      </c>
      <c r="F63" s="1" t="s">
        <v>3</v>
      </c>
      <c r="G63" s="5" t="s">
        <v>16</v>
      </c>
      <c r="H63" s="1" t="s">
        <v>17</v>
      </c>
      <c r="I63" s="5" t="s">
        <v>6</v>
      </c>
      <c r="J63" s="2">
        <v>96.5</v>
      </c>
      <c r="K63" s="4">
        <v>169.1</v>
      </c>
      <c r="L63" s="2">
        <v>66</v>
      </c>
      <c r="M63" s="4">
        <v>51</v>
      </c>
      <c r="N63" s="2">
        <v>2293</v>
      </c>
      <c r="O63" s="5" t="s">
        <v>18</v>
      </c>
      <c r="P63" s="1" t="s">
        <v>8</v>
      </c>
      <c r="Q63" s="4">
        <v>110</v>
      </c>
      <c r="R63" s="1" t="s">
        <v>28</v>
      </c>
      <c r="S63" s="4">
        <v>3.15</v>
      </c>
      <c r="T63" s="2">
        <v>3.58</v>
      </c>
      <c r="U63" s="4">
        <v>9.1</v>
      </c>
      <c r="V63" s="2">
        <v>100</v>
      </c>
      <c r="W63" s="4">
        <v>5500</v>
      </c>
      <c r="X63" s="2">
        <v>25</v>
      </c>
      <c r="Y63" s="4">
        <v>31</v>
      </c>
      <c r="Z63" s="2">
        <v>10345</v>
      </c>
      <c r="AC63" s="11">
        <f t="shared" si="0"/>
        <v>110</v>
      </c>
      <c r="AD63" s="11">
        <f t="shared" si="1"/>
        <v>100</v>
      </c>
      <c r="AE63" s="11">
        <f t="shared" si="2"/>
        <v>10345</v>
      </c>
      <c r="AF63" s="11">
        <f t="shared" si="3"/>
        <v>5500</v>
      </c>
      <c r="AG63" s="11">
        <f t="shared" si="4"/>
        <v>96.5</v>
      </c>
      <c r="AH63" s="11">
        <f t="shared" si="5"/>
        <v>66</v>
      </c>
      <c r="AJ63" s="40" t="s">
        <v>32</v>
      </c>
      <c r="AK63">
        <v>108</v>
      </c>
      <c r="AL63">
        <v>82</v>
      </c>
      <c r="AM63">
        <v>8058</v>
      </c>
      <c r="AN63">
        <v>5000</v>
      </c>
      <c r="AO63">
        <v>95.7</v>
      </c>
      <c r="AP63">
        <v>64.400000000000006</v>
      </c>
      <c r="AY63" s="40" t="s">
        <v>16</v>
      </c>
      <c r="AZ63" s="2">
        <v>100</v>
      </c>
    </row>
    <row r="64" spans="1:52" ht="15.75" x14ac:dyDescent="0.25">
      <c r="A64" s="4" t="s">
        <v>23</v>
      </c>
      <c r="B64" s="2">
        <v>85</v>
      </c>
      <c r="C64" s="5" t="s">
        <v>32</v>
      </c>
      <c r="D64" s="1" t="s">
        <v>1</v>
      </c>
      <c r="E64" s="5" t="s">
        <v>2</v>
      </c>
      <c r="F64" s="1" t="s">
        <v>8</v>
      </c>
      <c r="G64" s="5" t="s">
        <v>16</v>
      </c>
      <c r="H64" s="1" t="s">
        <v>17</v>
      </c>
      <c r="I64" s="5" t="s">
        <v>6</v>
      </c>
      <c r="J64" s="2">
        <v>96.5</v>
      </c>
      <c r="K64" s="4">
        <v>175.4</v>
      </c>
      <c r="L64" s="2">
        <v>62.5</v>
      </c>
      <c r="M64" s="4">
        <v>54.1</v>
      </c>
      <c r="N64" s="2">
        <v>2372</v>
      </c>
      <c r="O64" s="5" t="s">
        <v>18</v>
      </c>
      <c r="P64" s="1" t="s">
        <v>8</v>
      </c>
      <c r="Q64" s="4">
        <v>110</v>
      </c>
      <c r="R64" s="1" t="s">
        <v>33</v>
      </c>
      <c r="S64" s="4">
        <v>3.15</v>
      </c>
      <c r="T64" s="2">
        <v>3.58</v>
      </c>
      <c r="U64" s="4">
        <v>9</v>
      </c>
      <c r="V64" s="2">
        <v>86</v>
      </c>
      <c r="W64" s="4">
        <v>5800</v>
      </c>
      <c r="X64" s="2">
        <v>27</v>
      </c>
      <c r="Y64" s="4">
        <v>33</v>
      </c>
      <c r="Z64" s="2">
        <v>10295</v>
      </c>
      <c r="AC64" s="11">
        <f t="shared" si="0"/>
        <v>110</v>
      </c>
      <c r="AD64" s="11">
        <f t="shared" si="1"/>
        <v>86</v>
      </c>
      <c r="AE64" s="11">
        <f t="shared" si="2"/>
        <v>10295</v>
      </c>
      <c r="AF64" s="11">
        <f t="shared" si="3"/>
        <v>5800</v>
      </c>
      <c r="AG64" s="11">
        <f t="shared" si="4"/>
        <v>96.5</v>
      </c>
      <c r="AH64" s="11">
        <f t="shared" si="5"/>
        <v>62.5</v>
      </c>
      <c r="AJ64" s="40" t="s">
        <v>32</v>
      </c>
      <c r="AK64">
        <v>108</v>
      </c>
      <c r="AL64">
        <v>82</v>
      </c>
      <c r="AM64">
        <v>8189</v>
      </c>
      <c r="AN64">
        <v>5000</v>
      </c>
      <c r="AO64">
        <v>95.9</v>
      </c>
      <c r="AP64">
        <v>64.599999999999994</v>
      </c>
      <c r="AY64" s="40" t="s">
        <v>16</v>
      </c>
      <c r="AZ64" s="2">
        <v>86</v>
      </c>
    </row>
    <row r="65" spans="1:52" ht="15.75" x14ac:dyDescent="0.25">
      <c r="A65" s="4" t="s">
        <v>23</v>
      </c>
      <c r="B65" s="2">
        <v>115</v>
      </c>
      <c r="C65" s="5" t="s">
        <v>35</v>
      </c>
      <c r="D65" s="1" t="s">
        <v>1</v>
      </c>
      <c r="E65" s="5" t="s">
        <v>2</v>
      </c>
      <c r="F65" s="1" t="s">
        <v>8</v>
      </c>
      <c r="G65" s="5" t="s">
        <v>16</v>
      </c>
      <c r="H65" s="1" t="s">
        <v>17</v>
      </c>
      <c r="I65" s="5" t="s">
        <v>6</v>
      </c>
      <c r="J65" s="2">
        <v>98.8</v>
      </c>
      <c r="K65" s="4">
        <v>177.8</v>
      </c>
      <c r="L65" s="2">
        <v>66.5</v>
      </c>
      <c r="M65" s="4">
        <v>55.5</v>
      </c>
      <c r="N65" s="2">
        <v>2410</v>
      </c>
      <c r="O65" s="5" t="s">
        <v>18</v>
      </c>
      <c r="P65" s="1" t="s">
        <v>8</v>
      </c>
      <c r="Q65" s="4">
        <v>122</v>
      </c>
      <c r="R65" s="1" t="s">
        <v>28</v>
      </c>
      <c r="S65" s="4">
        <v>3.39</v>
      </c>
      <c r="T65" s="2">
        <v>3.39</v>
      </c>
      <c r="U65" s="4">
        <v>8.6</v>
      </c>
      <c r="V65" s="2">
        <v>84</v>
      </c>
      <c r="W65" s="4">
        <v>4800</v>
      </c>
      <c r="X65" s="2">
        <v>26</v>
      </c>
      <c r="Y65" s="4">
        <v>32</v>
      </c>
      <c r="Z65" s="2">
        <v>10245</v>
      </c>
      <c r="AC65" s="11">
        <f t="shared" si="0"/>
        <v>122</v>
      </c>
      <c r="AD65" s="11">
        <f t="shared" si="1"/>
        <v>84</v>
      </c>
      <c r="AE65" s="11">
        <f t="shared" si="2"/>
        <v>10245</v>
      </c>
      <c r="AF65" s="11">
        <f t="shared" si="3"/>
        <v>4800</v>
      </c>
      <c r="AG65" s="11">
        <f t="shared" si="4"/>
        <v>98.8</v>
      </c>
      <c r="AH65" s="11">
        <f t="shared" si="5"/>
        <v>66.5</v>
      </c>
      <c r="AJ65" s="40" t="s">
        <v>35</v>
      </c>
      <c r="AK65">
        <v>108</v>
      </c>
      <c r="AL65">
        <v>82</v>
      </c>
      <c r="AM65">
        <v>8195</v>
      </c>
      <c r="AN65">
        <v>5000</v>
      </c>
      <c r="AO65">
        <v>96.3</v>
      </c>
      <c r="AP65">
        <v>64.599999999999994</v>
      </c>
      <c r="AY65" s="40" t="s">
        <v>16</v>
      </c>
      <c r="AZ65" s="2">
        <v>84</v>
      </c>
    </row>
    <row r="66" spans="1:52" ht="15.75" x14ac:dyDescent="0.25">
      <c r="A66" s="4" t="s">
        <v>23</v>
      </c>
      <c r="B66" s="2">
        <v>89</v>
      </c>
      <c r="C66" s="5" t="s">
        <v>49</v>
      </c>
      <c r="D66" s="1" t="s">
        <v>1</v>
      </c>
      <c r="E66" s="5" t="s">
        <v>2</v>
      </c>
      <c r="F66" s="1" t="s">
        <v>8</v>
      </c>
      <c r="G66" s="5" t="s">
        <v>21</v>
      </c>
      <c r="H66" s="1" t="s">
        <v>17</v>
      </c>
      <c r="I66" s="5" t="s">
        <v>6</v>
      </c>
      <c r="J66" s="2">
        <v>97</v>
      </c>
      <c r="K66" s="4">
        <v>173.5</v>
      </c>
      <c r="L66" s="2">
        <v>65.400000000000006</v>
      </c>
      <c r="M66" s="4">
        <v>53</v>
      </c>
      <c r="N66" s="2">
        <v>2455</v>
      </c>
      <c r="O66" s="5" t="s">
        <v>47</v>
      </c>
      <c r="P66" s="1" t="s">
        <v>8</v>
      </c>
      <c r="Q66" s="4">
        <v>108</v>
      </c>
      <c r="R66" s="1" t="s">
        <v>9</v>
      </c>
      <c r="S66" s="4">
        <v>3.62</v>
      </c>
      <c r="T66" s="2">
        <v>2.64</v>
      </c>
      <c r="U66" s="4">
        <v>9</v>
      </c>
      <c r="V66" s="2">
        <v>94</v>
      </c>
      <c r="W66" s="4">
        <v>5200</v>
      </c>
      <c r="X66" s="2">
        <v>25</v>
      </c>
      <c r="Y66" s="4">
        <v>31</v>
      </c>
      <c r="Z66" s="2">
        <v>10198</v>
      </c>
      <c r="AC66" s="11">
        <f t="shared" ref="AC66:AC129" si="6">Q66</f>
        <v>108</v>
      </c>
      <c r="AD66" s="11">
        <f t="shared" ref="AD66:AD129" si="7">V66</f>
        <v>94</v>
      </c>
      <c r="AE66" s="11">
        <f t="shared" ref="AE66:AE129" si="8">Z66</f>
        <v>10198</v>
      </c>
      <c r="AF66" s="11">
        <f t="shared" ref="AF66:AF129" si="9">W66</f>
        <v>5200</v>
      </c>
      <c r="AG66" s="11">
        <f t="shared" ref="AG66:AG129" si="10">J66</f>
        <v>97</v>
      </c>
      <c r="AH66" s="11">
        <f t="shared" ref="AH66:AH129" si="11">L66</f>
        <v>65.400000000000006</v>
      </c>
      <c r="AJ66" s="40" t="s">
        <v>49</v>
      </c>
      <c r="AK66">
        <v>108</v>
      </c>
      <c r="AL66">
        <v>84</v>
      </c>
      <c r="AM66">
        <v>8238</v>
      </c>
      <c r="AN66">
        <v>5000</v>
      </c>
      <c r="AO66">
        <v>96.3</v>
      </c>
      <c r="AP66">
        <v>64.8</v>
      </c>
      <c r="AY66" s="40" t="s">
        <v>21</v>
      </c>
      <c r="AZ66" s="2">
        <v>94</v>
      </c>
    </row>
    <row r="67" spans="1:52" ht="15.75" x14ac:dyDescent="0.25">
      <c r="A67" s="4" t="s">
        <v>14</v>
      </c>
      <c r="B67" s="2">
        <v>94</v>
      </c>
      <c r="C67" s="5" t="s">
        <v>51</v>
      </c>
      <c r="D67" s="1" t="s">
        <v>1</v>
      </c>
      <c r="E67" s="5" t="s">
        <v>2</v>
      </c>
      <c r="F67" s="1" t="s">
        <v>8</v>
      </c>
      <c r="G67" s="5" t="s">
        <v>16</v>
      </c>
      <c r="H67" s="1" t="s">
        <v>17</v>
      </c>
      <c r="I67" s="5" t="s">
        <v>6</v>
      </c>
      <c r="J67" s="2">
        <v>97.3</v>
      </c>
      <c r="K67" s="4">
        <v>171.7</v>
      </c>
      <c r="L67" s="2">
        <v>65.5</v>
      </c>
      <c r="M67" s="4">
        <v>55.7</v>
      </c>
      <c r="N67" s="2">
        <v>2300</v>
      </c>
      <c r="O67" s="5" t="s">
        <v>18</v>
      </c>
      <c r="P67" s="1" t="s">
        <v>8</v>
      </c>
      <c r="Q67" s="4">
        <v>109</v>
      </c>
      <c r="R67" s="1" t="s">
        <v>9</v>
      </c>
      <c r="S67" s="4">
        <v>3.19</v>
      </c>
      <c r="T67" s="2">
        <v>3.4</v>
      </c>
      <c r="U67" s="4">
        <v>10</v>
      </c>
      <c r="V67" s="2">
        <v>100</v>
      </c>
      <c r="W67" s="4">
        <v>5500</v>
      </c>
      <c r="X67" s="2">
        <v>26</v>
      </c>
      <c r="Y67" s="4">
        <v>32</v>
      </c>
      <c r="Z67" s="2">
        <v>9995</v>
      </c>
      <c r="AC67" s="11">
        <f t="shared" si="6"/>
        <v>109</v>
      </c>
      <c r="AD67" s="11">
        <f t="shared" si="7"/>
        <v>100</v>
      </c>
      <c r="AE67" s="11">
        <f t="shared" si="8"/>
        <v>9995</v>
      </c>
      <c r="AF67" s="11">
        <f t="shared" si="9"/>
        <v>5500</v>
      </c>
      <c r="AG67" s="11">
        <f t="shared" si="10"/>
        <v>97.3</v>
      </c>
      <c r="AH67" s="11">
        <f t="shared" si="11"/>
        <v>65.5</v>
      </c>
      <c r="AJ67" s="40" t="s">
        <v>51</v>
      </c>
      <c r="AK67">
        <v>108</v>
      </c>
      <c r="AL67">
        <v>84</v>
      </c>
      <c r="AM67">
        <v>8249</v>
      </c>
      <c r="AN67">
        <v>5000</v>
      </c>
      <c r="AO67">
        <v>96.3</v>
      </c>
      <c r="AP67">
        <v>64.8</v>
      </c>
      <c r="AY67" s="40" t="s">
        <v>16</v>
      </c>
      <c r="AZ67" s="2">
        <v>100</v>
      </c>
    </row>
    <row r="68" spans="1:52" ht="15.75" x14ac:dyDescent="0.25">
      <c r="A68" s="4" t="s">
        <v>14</v>
      </c>
      <c r="B68" s="2">
        <v>134</v>
      </c>
      <c r="C68" s="5" t="s">
        <v>50</v>
      </c>
      <c r="D68" s="1" t="s">
        <v>1</v>
      </c>
      <c r="E68" s="5" t="s">
        <v>2</v>
      </c>
      <c r="F68" s="1" t="s">
        <v>3</v>
      </c>
      <c r="G68" s="5" t="s">
        <v>11</v>
      </c>
      <c r="H68" s="1" t="s">
        <v>5</v>
      </c>
      <c r="I68" s="5" t="s">
        <v>6</v>
      </c>
      <c r="J68" s="2">
        <v>98.4</v>
      </c>
      <c r="K68" s="4">
        <v>176.2</v>
      </c>
      <c r="L68" s="2">
        <v>65.599999999999994</v>
      </c>
      <c r="M68" s="4">
        <v>52</v>
      </c>
      <c r="N68" s="2">
        <v>2551</v>
      </c>
      <c r="O68" s="5" t="s">
        <v>18</v>
      </c>
      <c r="P68" s="1" t="s">
        <v>8</v>
      </c>
      <c r="Q68" s="4">
        <v>146</v>
      </c>
      <c r="R68" s="1" t="s">
        <v>9</v>
      </c>
      <c r="S68" s="4">
        <v>3.62</v>
      </c>
      <c r="T68" s="2">
        <v>3.5</v>
      </c>
      <c r="U68" s="4">
        <v>9.3000000000000007</v>
      </c>
      <c r="V68" s="2">
        <v>116</v>
      </c>
      <c r="W68" s="4">
        <v>4800</v>
      </c>
      <c r="X68" s="2">
        <v>24</v>
      </c>
      <c r="Y68" s="4">
        <v>30</v>
      </c>
      <c r="Z68" s="2">
        <v>9989</v>
      </c>
      <c r="AC68" s="11">
        <f t="shared" si="6"/>
        <v>146</v>
      </c>
      <c r="AD68" s="11">
        <f t="shared" si="7"/>
        <v>116</v>
      </c>
      <c r="AE68" s="11">
        <f t="shared" si="8"/>
        <v>9989</v>
      </c>
      <c r="AF68" s="11">
        <f t="shared" si="9"/>
        <v>4800</v>
      </c>
      <c r="AG68" s="11">
        <f t="shared" si="10"/>
        <v>98.4</v>
      </c>
      <c r="AH68" s="11">
        <f t="shared" si="11"/>
        <v>65.599999999999994</v>
      </c>
      <c r="AJ68" s="40" t="s">
        <v>50</v>
      </c>
      <c r="AK68">
        <v>108</v>
      </c>
      <c r="AL68">
        <v>84</v>
      </c>
      <c r="AM68">
        <v>8358</v>
      </c>
      <c r="AN68">
        <v>5000</v>
      </c>
      <c r="AO68">
        <v>96.3</v>
      </c>
      <c r="AP68">
        <v>64.8</v>
      </c>
      <c r="AY68" s="40" t="s">
        <v>11</v>
      </c>
      <c r="AZ68" s="2">
        <v>116</v>
      </c>
    </row>
    <row r="69" spans="1:52" ht="15.75" x14ac:dyDescent="0.25">
      <c r="A69" s="4" t="s">
        <v>30</v>
      </c>
      <c r="B69" s="2">
        <v>65</v>
      </c>
      <c r="C69" s="5" t="s">
        <v>50</v>
      </c>
      <c r="D69" s="1" t="s">
        <v>1</v>
      </c>
      <c r="E69" s="5" t="s">
        <v>2</v>
      </c>
      <c r="F69" s="1" t="s">
        <v>8</v>
      </c>
      <c r="G69" s="5" t="s">
        <v>11</v>
      </c>
      <c r="H69" s="1" t="s">
        <v>17</v>
      </c>
      <c r="I69" s="5" t="s">
        <v>6</v>
      </c>
      <c r="J69" s="2">
        <v>102.4</v>
      </c>
      <c r="K69" s="4">
        <v>175.6</v>
      </c>
      <c r="L69" s="2">
        <v>66.5</v>
      </c>
      <c r="M69" s="4">
        <v>53.9</v>
      </c>
      <c r="N69" s="2">
        <v>2414</v>
      </c>
      <c r="O69" s="5" t="s">
        <v>18</v>
      </c>
      <c r="P69" s="1" t="s">
        <v>8</v>
      </c>
      <c r="Q69" s="4">
        <v>122</v>
      </c>
      <c r="R69" s="1" t="s">
        <v>9</v>
      </c>
      <c r="S69" s="4">
        <v>3.31</v>
      </c>
      <c r="T69" s="2">
        <v>3.54</v>
      </c>
      <c r="U69" s="4">
        <v>8.6999999999999993</v>
      </c>
      <c r="V69" s="2">
        <v>92</v>
      </c>
      <c r="W69" s="4">
        <v>4200</v>
      </c>
      <c r="X69" s="2">
        <v>27</v>
      </c>
      <c r="Y69" s="4">
        <v>32</v>
      </c>
      <c r="Z69" s="2">
        <v>9988</v>
      </c>
      <c r="AC69" s="11">
        <f t="shared" si="6"/>
        <v>122</v>
      </c>
      <c r="AD69" s="11">
        <f t="shared" si="7"/>
        <v>92</v>
      </c>
      <c r="AE69" s="11">
        <f t="shared" si="8"/>
        <v>9988</v>
      </c>
      <c r="AF69" s="11">
        <f t="shared" si="9"/>
        <v>4200</v>
      </c>
      <c r="AG69" s="11">
        <f t="shared" si="10"/>
        <v>102.4</v>
      </c>
      <c r="AH69" s="11">
        <f t="shared" si="11"/>
        <v>66.5</v>
      </c>
      <c r="AJ69" s="40" t="s">
        <v>50</v>
      </c>
      <c r="AK69">
        <v>108</v>
      </c>
      <c r="AL69">
        <v>84</v>
      </c>
      <c r="AM69">
        <v>8449</v>
      </c>
      <c r="AN69">
        <v>5000</v>
      </c>
      <c r="AO69">
        <v>96.3</v>
      </c>
      <c r="AP69">
        <v>64.8</v>
      </c>
      <c r="AY69" s="40" t="s">
        <v>11</v>
      </c>
      <c r="AZ69" s="2">
        <v>92</v>
      </c>
    </row>
    <row r="70" spans="1:52" ht="15.75" x14ac:dyDescent="0.25">
      <c r="A70" s="4" t="s">
        <v>0</v>
      </c>
      <c r="B70" s="2">
        <v>256</v>
      </c>
      <c r="C70" s="5" t="s">
        <v>51</v>
      </c>
      <c r="D70" s="1" t="s">
        <v>1</v>
      </c>
      <c r="E70" s="5" t="s">
        <v>2</v>
      </c>
      <c r="F70" s="1" t="s">
        <v>3</v>
      </c>
      <c r="G70" s="5" t="s">
        <v>11</v>
      </c>
      <c r="H70" s="1" t="s">
        <v>17</v>
      </c>
      <c r="I70" s="5" t="s">
        <v>6</v>
      </c>
      <c r="J70" s="2">
        <v>94.5</v>
      </c>
      <c r="K70" s="4">
        <v>165.7</v>
      </c>
      <c r="L70" s="2">
        <v>64</v>
      </c>
      <c r="M70" s="4">
        <v>51.4</v>
      </c>
      <c r="N70" s="2">
        <v>2221</v>
      </c>
      <c r="O70" s="5" t="s">
        <v>18</v>
      </c>
      <c r="P70" s="1" t="s">
        <v>8</v>
      </c>
      <c r="Q70" s="4">
        <v>109</v>
      </c>
      <c r="R70" s="1" t="s">
        <v>9</v>
      </c>
      <c r="S70" s="4">
        <v>3.19</v>
      </c>
      <c r="T70" s="2">
        <v>3.4</v>
      </c>
      <c r="U70" s="4">
        <v>8.5</v>
      </c>
      <c r="V70" s="2">
        <v>90</v>
      </c>
      <c r="W70" s="4">
        <v>5500</v>
      </c>
      <c r="X70" s="2">
        <v>24</v>
      </c>
      <c r="Y70" s="4">
        <v>29</v>
      </c>
      <c r="Z70" s="2">
        <v>9980</v>
      </c>
      <c r="AC70" s="11">
        <f t="shared" si="6"/>
        <v>109</v>
      </c>
      <c r="AD70" s="11">
        <f t="shared" si="7"/>
        <v>90</v>
      </c>
      <c r="AE70" s="11">
        <f t="shared" si="8"/>
        <v>9980</v>
      </c>
      <c r="AF70" s="11">
        <f t="shared" si="9"/>
        <v>5500</v>
      </c>
      <c r="AG70" s="11">
        <f t="shared" si="10"/>
        <v>94.5</v>
      </c>
      <c r="AH70" s="11">
        <f t="shared" si="11"/>
        <v>64</v>
      </c>
      <c r="AJ70" s="40" t="s">
        <v>51</v>
      </c>
      <c r="AK70">
        <v>108</v>
      </c>
      <c r="AL70">
        <v>84</v>
      </c>
      <c r="AM70">
        <v>8495</v>
      </c>
      <c r="AN70">
        <v>5000</v>
      </c>
      <c r="AO70">
        <v>96.3</v>
      </c>
      <c r="AP70">
        <v>65.2</v>
      </c>
      <c r="AY70" s="40" t="s">
        <v>11</v>
      </c>
      <c r="AZ70" s="2">
        <v>90</v>
      </c>
    </row>
    <row r="71" spans="1:52" ht="15.75" x14ac:dyDescent="0.25">
      <c r="A71" s="4" t="s">
        <v>23</v>
      </c>
      <c r="B71" s="2">
        <v>102</v>
      </c>
      <c r="C71" s="5" t="s">
        <v>49</v>
      </c>
      <c r="D71" s="1" t="s">
        <v>1</v>
      </c>
      <c r="E71" s="5" t="s">
        <v>2</v>
      </c>
      <c r="F71" s="1" t="s">
        <v>8</v>
      </c>
      <c r="G71" s="5" t="s">
        <v>16</v>
      </c>
      <c r="H71" s="1" t="s">
        <v>17</v>
      </c>
      <c r="I71" s="5" t="s">
        <v>6</v>
      </c>
      <c r="J71" s="2">
        <v>97.2</v>
      </c>
      <c r="K71" s="4">
        <v>172</v>
      </c>
      <c r="L71" s="2">
        <v>65.400000000000006</v>
      </c>
      <c r="M71" s="4">
        <v>52.5</v>
      </c>
      <c r="N71" s="2">
        <v>2340</v>
      </c>
      <c r="O71" s="5" t="s">
        <v>47</v>
      </c>
      <c r="P71" s="1" t="s">
        <v>8</v>
      </c>
      <c r="Q71" s="4">
        <v>108</v>
      </c>
      <c r="R71" s="1" t="s">
        <v>9</v>
      </c>
      <c r="S71" s="4">
        <v>3.62</v>
      </c>
      <c r="T71" s="2">
        <v>2.64</v>
      </c>
      <c r="U71" s="4">
        <v>9</v>
      </c>
      <c r="V71" s="2">
        <v>94</v>
      </c>
      <c r="W71" s="4">
        <v>5200</v>
      </c>
      <c r="X71" s="2">
        <v>26</v>
      </c>
      <c r="Y71" s="4">
        <v>32</v>
      </c>
      <c r="Z71" s="2">
        <v>9960</v>
      </c>
      <c r="AC71" s="11">
        <f t="shared" si="6"/>
        <v>108</v>
      </c>
      <c r="AD71" s="11">
        <f t="shared" si="7"/>
        <v>94</v>
      </c>
      <c r="AE71" s="11">
        <f t="shared" si="8"/>
        <v>9960</v>
      </c>
      <c r="AF71" s="11">
        <f t="shared" si="9"/>
        <v>5200</v>
      </c>
      <c r="AG71" s="11">
        <f t="shared" si="10"/>
        <v>97.2</v>
      </c>
      <c r="AH71" s="11">
        <f t="shared" si="11"/>
        <v>65.400000000000006</v>
      </c>
      <c r="AJ71" s="40" t="s">
        <v>49</v>
      </c>
      <c r="AK71">
        <v>108</v>
      </c>
      <c r="AL71">
        <v>85</v>
      </c>
      <c r="AM71">
        <v>8495</v>
      </c>
      <c r="AN71">
        <v>5000</v>
      </c>
      <c r="AO71">
        <v>96.5</v>
      </c>
      <c r="AP71">
        <v>65.2</v>
      </c>
      <c r="AY71" s="40" t="s">
        <v>16</v>
      </c>
      <c r="AZ71" s="2">
        <v>94</v>
      </c>
    </row>
    <row r="72" spans="1:52" ht="15.75" x14ac:dyDescent="0.25">
      <c r="A72" s="4" t="s">
        <v>0</v>
      </c>
      <c r="B72" s="2">
        <v>153</v>
      </c>
      <c r="C72" s="5" t="s">
        <v>41</v>
      </c>
      <c r="D72" s="1" t="s">
        <v>1</v>
      </c>
      <c r="E72" s="5" t="s">
        <v>22</v>
      </c>
      <c r="F72" s="1" t="s">
        <v>3</v>
      </c>
      <c r="G72" s="5" t="s">
        <v>11</v>
      </c>
      <c r="H72" s="1" t="s">
        <v>17</v>
      </c>
      <c r="I72" s="5" t="s">
        <v>6</v>
      </c>
      <c r="J72" s="2">
        <v>96.3</v>
      </c>
      <c r="K72" s="4">
        <v>173</v>
      </c>
      <c r="L72" s="2">
        <v>65.400000000000006</v>
      </c>
      <c r="M72" s="4">
        <v>49.4</v>
      </c>
      <c r="N72" s="2">
        <v>2370</v>
      </c>
      <c r="O72" s="5" t="s">
        <v>18</v>
      </c>
      <c r="P72" s="1" t="s">
        <v>8</v>
      </c>
      <c r="Q72" s="4">
        <v>110</v>
      </c>
      <c r="R72" s="1" t="s">
        <v>42</v>
      </c>
      <c r="S72" s="4">
        <v>3.17</v>
      </c>
      <c r="T72" s="2">
        <v>3.46</v>
      </c>
      <c r="U72" s="4">
        <v>7.5</v>
      </c>
      <c r="V72" s="2">
        <v>116</v>
      </c>
      <c r="W72" s="4">
        <v>5500</v>
      </c>
      <c r="X72" s="2">
        <v>23</v>
      </c>
      <c r="Y72" s="4">
        <v>30</v>
      </c>
      <c r="Z72" s="2">
        <v>9959</v>
      </c>
      <c r="AC72" s="11">
        <f t="shared" si="6"/>
        <v>110</v>
      </c>
      <c r="AD72" s="11">
        <f t="shared" si="7"/>
        <v>116</v>
      </c>
      <c r="AE72" s="11">
        <f t="shared" si="8"/>
        <v>9959</v>
      </c>
      <c r="AF72" s="11">
        <f t="shared" si="9"/>
        <v>5500</v>
      </c>
      <c r="AG72" s="11">
        <f t="shared" si="10"/>
        <v>96.3</v>
      </c>
      <c r="AH72" s="11">
        <f t="shared" si="11"/>
        <v>65.400000000000006</v>
      </c>
      <c r="AJ72" s="40" t="s">
        <v>41</v>
      </c>
      <c r="AK72">
        <v>108</v>
      </c>
      <c r="AL72">
        <v>85</v>
      </c>
      <c r="AM72">
        <v>8499</v>
      </c>
      <c r="AN72">
        <v>5000</v>
      </c>
      <c r="AO72">
        <v>96.5</v>
      </c>
      <c r="AP72">
        <v>65.2</v>
      </c>
      <c r="AY72" s="40" t="s">
        <v>11</v>
      </c>
      <c r="AZ72" s="2">
        <v>116</v>
      </c>
    </row>
    <row r="73" spans="1:52" ht="15.75" x14ac:dyDescent="0.25">
      <c r="A73" s="4" t="s">
        <v>14</v>
      </c>
      <c r="B73" s="2">
        <v>134</v>
      </c>
      <c r="C73" s="5" t="s">
        <v>50</v>
      </c>
      <c r="D73" s="1" t="s">
        <v>1</v>
      </c>
      <c r="E73" s="5" t="s">
        <v>2</v>
      </c>
      <c r="F73" s="1" t="s">
        <v>3</v>
      </c>
      <c r="G73" s="5" t="s">
        <v>39</v>
      </c>
      <c r="H73" s="1" t="s">
        <v>5</v>
      </c>
      <c r="I73" s="5" t="s">
        <v>6</v>
      </c>
      <c r="J73" s="2">
        <v>98.4</v>
      </c>
      <c r="K73" s="4">
        <v>176.2</v>
      </c>
      <c r="L73" s="2">
        <v>65.599999999999994</v>
      </c>
      <c r="M73" s="4">
        <v>52</v>
      </c>
      <c r="N73" s="2">
        <v>2536</v>
      </c>
      <c r="O73" s="5" t="s">
        <v>18</v>
      </c>
      <c r="P73" s="1" t="s">
        <v>8</v>
      </c>
      <c r="Q73" s="4">
        <v>146</v>
      </c>
      <c r="R73" s="1" t="s">
        <v>9</v>
      </c>
      <c r="S73" s="4">
        <v>3.62</v>
      </c>
      <c r="T73" s="2">
        <v>3.5</v>
      </c>
      <c r="U73" s="4">
        <v>9.3000000000000007</v>
      </c>
      <c r="V73" s="2">
        <v>116</v>
      </c>
      <c r="W73" s="4">
        <v>4800</v>
      </c>
      <c r="X73" s="2">
        <v>24</v>
      </c>
      <c r="Y73" s="4">
        <v>30</v>
      </c>
      <c r="Z73" s="2">
        <v>9639</v>
      </c>
      <c r="AC73" s="11">
        <f t="shared" si="6"/>
        <v>146</v>
      </c>
      <c r="AD73" s="11">
        <f t="shared" si="7"/>
        <v>116</v>
      </c>
      <c r="AE73" s="11">
        <f t="shared" si="8"/>
        <v>9639</v>
      </c>
      <c r="AF73" s="11">
        <f t="shared" si="9"/>
        <v>4800</v>
      </c>
      <c r="AG73" s="11">
        <f t="shared" si="10"/>
        <v>98.4</v>
      </c>
      <c r="AH73" s="11">
        <f t="shared" si="11"/>
        <v>65.599999999999994</v>
      </c>
      <c r="AJ73" s="40" t="s">
        <v>50</v>
      </c>
      <c r="AK73">
        <v>108</v>
      </c>
      <c r="AL73">
        <v>85</v>
      </c>
      <c r="AM73">
        <v>8778</v>
      </c>
      <c r="AN73">
        <v>5000</v>
      </c>
      <c r="AO73">
        <v>96.5</v>
      </c>
      <c r="AP73">
        <v>65.2</v>
      </c>
      <c r="AY73" s="40" t="s">
        <v>39</v>
      </c>
      <c r="AZ73" s="2">
        <v>116</v>
      </c>
    </row>
    <row r="74" spans="1:52" ht="15.75" x14ac:dyDescent="0.25">
      <c r="A74" s="4" t="s">
        <v>23</v>
      </c>
      <c r="B74" s="2">
        <v>106</v>
      </c>
      <c r="C74" s="5" t="s">
        <v>43</v>
      </c>
      <c r="D74" s="1" t="s">
        <v>1</v>
      </c>
      <c r="E74" s="5" t="s">
        <v>2</v>
      </c>
      <c r="F74" s="1" t="s">
        <v>8</v>
      </c>
      <c r="G74" s="5" t="s">
        <v>16</v>
      </c>
      <c r="H74" s="1" t="s">
        <v>17</v>
      </c>
      <c r="I74" s="5" t="s">
        <v>6</v>
      </c>
      <c r="J74" s="2">
        <v>97.2</v>
      </c>
      <c r="K74" s="4">
        <v>173.4</v>
      </c>
      <c r="L74" s="2">
        <v>65.2</v>
      </c>
      <c r="M74" s="4">
        <v>54.7</v>
      </c>
      <c r="N74" s="2">
        <v>2302</v>
      </c>
      <c r="O74" s="5" t="s">
        <v>18</v>
      </c>
      <c r="P74" s="1" t="s">
        <v>8</v>
      </c>
      <c r="Q74" s="4">
        <v>120</v>
      </c>
      <c r="R74" s="1" t="s">
        <v>28</v>
      </c>
      <c r="S74" s="4">
        <v>3.33</v>
      </c>
      <c r="T74" s="2">
        <v>3.47</v>
      </c>
      <c r="U74" s="4">
        <v>8.5</v>
      </c>
      <c r="V74" s="2">
        <v>97</v>
      </c>
      <c r="W74" s="4">
        <v>5200</v>
      </c>
      <c r="X74" s="2">
        <v>27</v>
      </c>
      <c r="Y74" s="4">
        <v>34</v>
      </c>
      <c r="Z74" s="2">
        <v>9549</v>
      </c>
      <c r="AC74" s="11">
        <f t="shared" si="6"/>
        <v>120</v>
      </c>
      <c r="AD74" s="11">
        <f t="shared" si="7"/>
        <v>97</v>
      </c>
      <c r="AE74" s="11">
        <f t="shared" si="8"/>
        <v>9549</v>
      </c>
      <c r="AF74" s="11">
        <f t="shared" si="9"/>
        <v>5200</v>
      </c>
      <c r="AG74" s="11">
        <f t="shared" si="10"/>
        <v>97.2</v>
      </c>
      <c r="AH74" s="11">
        <f t="shared" si="11"/>
        <v>65.2</v>
      </c>
      <c r="AJ74" s="40" t="s">
        <v>43</v>
      </c>
      <c r="AK74">
        <v>109</v>
      </c>
      <c r="AL74">
        <v>86</v>
      </c>
      <c r="AM74">
        <v>8845</v>
      </c>
      <c r="AN74">
        <v>5000</v>
      </c>
      <c r="AO74">
        <v>96.5</v>
      </c>
      <c r="AP74">
        <v>65.2</v>
      </c>
      <c r="AY74" s="40" t="s">
        <v>16</v>
      </c>
      <c r="AZ74" s="2">
        <v>97</v>
      </c>
    </row>
    <row r="75" spans="1:52" ht="15.75" x14ac:dyDescent="0.25">
      <c r="A75" s="4" t="s">
        <v>10</v>
      </c>
      <c r="B75" s="2">
        <v>168</v>
      </c>
      <c r="C75" s="5" t="s">
        <v>50</v>
      </c>
      <c r="D75" s="1" t="s">
        <v>1</v>
      </c>
      <c r="E75" s="5" t="s">
        <v>2</v>
      </c>
      <c r="F75" s="1" t="s">
        <v>3</v>
      </c>
      <c r="G75" s="5" t="s">
        <v>11</v>
      </c>
      <c r="H75" s="1" t="s">
        <v>5</v>
      </c>
      <c r="I75" s="5" t="s">
        <v>6</v>
      </c>
      <c r="J75" s="2">
        <v>94.5</v>
      </c>
      <c r="K75" s="4">
        <v>168.7</v>
      </c>
      <c r="L75" s="2">
        <v>64</v>
      </c>
      <c r="M75" s="4">
        <v>52.6</v>
      </c>
      <c r="N75" s="2">
        <v>2300</v>
      </c>
      <c r="O75" s="5" t="s">
        <v>7</v>
      </c>
      <c r="P75" s="1" t="s">
        <v>8</v>
      </c>
      <c r="Q75" s="4">
        <v>98</v>
      </c>
      <c r="R75" s="1" t="s">
        <v>9</v>
      </c>
      <c r="S75" s="4">
        <v>3.24</v>
      </c>
      <c r="T75" s="2">
        <v>3.08</v>
      </c>
      <c r="U75" s="4">
        <v>9.4</v>
      </c>
      <c r="V75" s="2">
        <v>112</v>
      </c>
      <c r="W75" s="4">
        <v>6600</v>
      </c>
      <c r="X75" s="2">
        <v>26</v>
      </c>
      <c r="Y75" s="4">
        <v>29</v>
      </c>
      <c r="Z75" s="2">
        <v>9538</v>
      </c>
      <c r="AC75" s="11">
        <f t="shared" si="6"/>
        <v>98</v>
      </c>
      <c r="AD75" s="11">
        <f t="shared" si="7"/>
        <v>112</v>
      </c>
      <c r="AE75" s="11">
        <f t="shared" si="8"/>
        <v>9538</v>
      </c>
      <c r="AF75" s="11">
        <f t="shared" si="9"/>
        <v>6600</v>
      </c>
      <c r="AG75" s="11">
        <f t="shared" si="10"/>
        <v>94.5</v>
      </c>
      <c r="AH75" s="11">
        <f t="shared" si="11"/>
        <v>64</v>
      </c>
      <c r="AJ75" s="40" t="s">
        <v>50</v>
      </c>
      <c r="AK75">
        <v>109</v>
      </c>
      <c r="AL75">
        <v>86</v>
      </c>
      <c r="AM75">
        <v>8845</v>
      </c>
      <c r="AN75">
        <v>5100</v>
      </c>
      <c r="AO75">
        <v>96.5</v>
      </c>
      <c r="AP75">
        <v>65.2</v>
      </c>
      <c r="AY75" s="40" t="s">
        <v>11</v>
      </c>
      <c r="AZ75" s="2">
        <v>112</v>
      </c>
    </row>
    <row r="76" spans="1:52" ht="15.75" x14ac:dyDescent="0.25">
      <c r="A76" s="4" t="s">
        <v>14</v>
      </c>
      <c r="B76" s="2">
        <v>94</v>
      </c>
      <c r="C76" s="5" t="s">
        <v>51</v>
      </c>
      <c r="D76" s="1" t="s">
        <v>36</v>
      </c>
      <c r="E76" s="5" t="s">
        <v>22</v>
      </c>
      <c r="F76" s="1" t="s">
        <v>8</v>
      </c>
      <c r="G76" s="5" t="s">
        <v>16</v>
      </c>
      <c r="H76" s="1" t="s">
        <v>17</v>
      </c>
      <c r="I76" s="5" t="s">
        <v>6</v>
      </c>
      <c r="J76" s="2">
        <v>97.3</v>
      </c>
      <c r="K76" s="4">
        <v>171.7</v>
      </c>
      <c r="L76" s="2">
        <v>65.5</v>
      </c>
      <c r="M76" s="4">
        <v>55.7</v>
      </c>
      <c r="N76" s="2">
        <v>2319</v>
      </c>
      <c r="O76" s="5" t="s">
        <v>18</v>
      </c>
      <c r="P76" s="1" t="s">
        <v>8</v>
      </c>
      <c r="Q76" s="4">
        <v>97</v>
      </c>
      <c r="R76" s="1" t="s">
        <v>37</v>
      </c>
      <c r="S76" s="4">
        <v>3.01</v>
      </c>
      <c r="T76" s="2">
        <v>3.4</v>
      </c>
      <c r="U76" s="4">
        <v>23</v>
      </c>
      <c r="V76" s="2">
        <v>68</v>
      </c>
      <c r="W76" s="4">
        <v>4500</v>
      </c>
      <c r="X76" s="2">
        <v>37</v>
      </c>
      <c r="Y76" s="4">
        <v>42</v>
      </c>
      <c r="Z76" s="2">
        <v>9495</v>
      </c>
      <c r="AC76" s="11">
        <f t="shared" si="6"/>
        <v>97</v>
      </c>
      <c r="AD76" s="11">
        <f t="shared" si="7"/>
        <v>68</v>
      </c>
      <c r="AE76" s="11">
        <f t="shared" si="8"/>
        <v>9495</v>
      </c>
      <c r="AF76" s="11">
        <f t="shared" si="9"/>
        <v>4500</v>
      </c>
      <c r="AG76" s="11">
        <f t="shared" si="10"/>
        <v>97.3</v>
      </c>
      <c r="AH76" s="11">
        <f t="shared" si="11"/>
        <v>65.5</v>
      </c>
      <c r="AJ76" s="40" t="s">
        <v>51</v>
      </c>
      <c r="AK76">
        <v>109</v>
      </c>
      <c r="AL76">
        <v>86</v>
      </c>
      <c r="AM76">
        <v>8921</v>
      </c>
      <c r="AN76">
        <v>5100</v>
      </c>
      <c r="AO76">
        <v>96.5</v>
      </c>
      <c r="AP76">
        <v>65.400000000000006</v>
      </c>
      <c r="AY76" s="40" t="s">
        <v>16</v>
      </c>
      <c r="AZ76" s="2">
        <v>68</v>
      </c>
    </row>
    <row r="77" spans="1:52" ht="15.75" x14ac:dyDescent="0.25">
      <c r="A77" s="4" t="s">
        <v>10</v>
      </c>
      <c r="B77" s="2">
        <v>168</v>
      </c>
      <c r="C77" s="5" t="s">
        <v>50</v>
      </c>
      <c r="D77" s="1" t="s">
        <v>1</v>
      </c>
      <c r="E77" s="5" t="s">
        <v>2</v>
      </c>
      <c r="F77" s="1" t="s">
        <v>3</v>
      </c>
      <c r="G77" s="5" t="s">
        <v>16</v>
      </c>
      <c r="H77" s="1" t="s">
        <v>5</v>
      </c>
      <c r="I77" s="5" t="s">
        <v>6</v>
      </c>
      <c r="J77" s="2">
        <v>94.5</v>
      </c>
      <c r="K77" s="4">
        <v>168.7</v>
      </c>
      <c r="L77" s="2">
        <v>64</v>
      </c>
      <c r="M77" s="4">
        <v>52.6</v>
      </c>
      <c r="N77" s="2">
        <v>2265</v>
      </c>
      <c r="O77" s="5" t="s">
        <v>7</v>
      </c>
      <c r="P77" s="1" t="s">
        <v>8</v>
      </c>
      <c r="Q77" s="4">
        <v>98</v>
      </c>
      <c r="R77" s="1" t="s">
        <v>9</v>
      </c>
      <c r="S77" s="4">
        <v>3.24</v>
      </c>
      <c r="T77" s="2">
        <v>3.08</v>
      </c>
      <c r="U77" s="4">
        <v>9.4</v>
      </c>
      <c r="V77" s="2">
        <v>112</v>
      </c>
      <c r="W77" s="4">
        <v>6600</v>
      </c>
      <c r="X77" s="2">
        <v>26</v>
      </c>
      <c r="Y77" s="4">
        <v>29</v>
      </c>
      <c r="Z77" s="2">
        <v>9298</v>
      </c>
      <c r="AC77" s="11">
        <f t="shared" si="6"/>
        <v>98</v>
      </c>
      <c r="AD77" s="11">
        <f t="shared" si="7"/>
        <v>112</v>
      </c>
      <c r="AE77" s="11">
        <f t="shared" si="8"/>
        <v>9298</v>
      </c>
      <c r="AF77" s="11">
        <f t="shared" si="9"/>
        <v>6600</v>
      </c>
      <c r="AG77" s="11">
        <f t="shared" si="10"/>
        <v>94.5</v>
      </c>
      <c r="AH77" s="11">
        <f t="shared" si="11"/>
        <v>64</v>
      </c>
      <c r="AJ77" s="40" t="s">
        <v>50</v>
      </c>
      <c r="AK77">
        <v>109</v>
      </c>
      <c r="AL77">
        <v>86</v>
      </c>
      <c r="AM77">
        <v>8921</v>
      </c>
      <c r="AN77">
        <v>5100</v>
      </c>
      <c r="AO77">
        <v>96.5</v>
      </c>
      <c r="AP77">
        <v>65.400000000000006</v>
      </c>
      <c r="AY77" s="40" t="s">
        <v>16</v>
      </c>
      <c r="AZ77" s="2">
        <v>112</v>
      </c>
    </row>
    <row r="78" spans="1:52" ht="15.75" x14ac:dyDescent="0.25">
      <c r="A78" s="4" t="s">
        <v>10</v>
      </c>
      <c r="B78" s="2">
        <v>125</v>
      </c>
      <c r="C78" s="5" t="s">
        <v>41</v>
      </c>
      <c r="D78" s="1" t="s">
        <v>1</v>
      </c>
      <c r="E78" s="5" t="s">
        <v>22</v>
      </c>
      <c r="F78" s="1" t="s">
        <v>8</v>
      </c>
      <c r="G78" s="5" t="s">
        <v>16</v>
      </c>
      <c r="H78" s="1" t="s">
        <v>17</v>
      </c>
      <c r="I78" s="5" t="s">
        <v>6</v>
      </c>
      <c r="J78" s="2">
        <v>96.3</v>
      </c>
      <c r="K78" s="4">
        <v>172.4</v>
      </c>
      <c r="L78" s="2">
        <v>65.400000000000006</v>
      </c>
      <c r="M78" s="4">
        <v>51.6</v>
      </c>
      <c r="N78" s="2">
        <v>2403</v>
      </c>
      <c r="O78" s="5" t="s">
        <v>18</v>
      </c>
      <c r="P78" s="1" t="s">
        <v>8</v>
      </c>
      <c r="Q78" s="4">
        <v>110</v>
      </c>
      <c r="R78" s="1" t="s">
        <v>42</v>
      </c>
      <c r="S78" s="4">
        <v>3.17</v>
      </c>
      <c r="T78" s="2">
        <v>3.46</v>
      </c>
      <c r="U78" s="4">
        <v>7.5</v>
      </c>
      <c r="V78" s="2">
        <v>116</v>
      </c>
      <c r="W78" s="4">
        <v>5500</v>
      </c>
      <c r="X78" s="2">
        <v>23</v>
      </c>
      <c r="Y78" s="4">
        <v>30</v>
      </c>
      <c r="Z78" s="2">
        <v>9279</v>
      </c>
      <c r="AC78" s="11">
        <f t="shared" si="6"/>
        <v>110</v>
      </c>
      <c r="AD78" s="11">
        <f t="shared" si="7"/>
        <v>116</v>
      </c>
      <c r="AE78" s="11">
        <f t="shared" si="8"/>
        <v>9279</v>
      </c>
      <c r="AF78" s="11">
        <f t="shared" si="9"/>
        <v>5500</v>
      </c>
      <c r="AG78" s="11">
        <f t="shared" si="10"/>
        <v>96.3</v>
      </c>
      <c r="AH78" s="11">
        <f t="shared" si="11"/>
        <v>65.400000000000006</v>
      </c>
      <c r="AJ78" s="40" t="s">
        <v>41</v>
      </c>
      <c r="AK78">
        <v>109</v>
      </c>
      <c r="AL78">
        <v>88</v>
      </c>
      <c r="AM78">
        <v>8948</v>
      </c>
      <c r="AN78">
        <v>5200</v>
      </c>
      <c r="AO78">
        <v>96.5</v>
      </c>
      <c r="AP78">
        <v>65.400000000000006</v>
      </c>
      <c r="AY78" s="40" t="s">
        <v>16</v>
      </c>
      <c r="AZ78" s="2">
        <v>116</v>
      </c>
    </row>
    <row r="79" spans="1:52" ht="15.75" x14ac:dyDescent="0.25">
      <c r="A79" s="4" t="s">
        <v>30</v>
      </c>
      <c r="B79" s="2">
        <v>137</v>
      </c>
      <c r="C79" s="5" t="s">
        <v>41</v>
      </c>
      <c r="D79" s="1" t="s">
        <v>1</v>
      </c>
      <c r="E79" s="5" t="s">
        <v>2</v>
      </c>
      <c r="F79" s="1" t="s">
        <v>8</v>
      </c>
      <c r="G79" s="5" t="s">
        <v>16</v>
      </c>
      <c r="H79" s="1" t="s">
        <v>17</v>
      </c>
      <c r="I79" s="5" t="s">
        <v>6</v>
      </c>
      <c r="J79" s="2">
        <v>96.3</v>
      </c>
      <c r="K79" s="4">
        <v>172.4</v>
      </c>
      <c r="L79" s="2">
        <v>65.400000000000006</v>
      </c>
      <c r="M79" s="4">
        <v>51.6</v>
      </c>
      <c r="N79" s="2">
        <v>2403</v>
      </c>
      <c r="O79" s="5" t="s">
        <v>18</v>
      </c>
      <c r="P79" s="1" t="s">
        <v>8</v>
      </c>
      <c r="Q79" s="4">
        <v>110</v>
      </c>
      <c r="R79" s="1" t="s">
        <v>42</v>
      </c>
      <c r="S79" s="4">
        <v>3.17</v>
      </c>
      <c r="T79" s="2">
        <v>3.46</v>
      </c>
      <c r="U79" s="4">
        <v>7.5</v>
      </c>
      <c r="V79" s="2">
        <v>116</v>
      </c>
      <c r="W79" s="4">
        <v>5500</v>
      </c>
      <c r="X79" s="2">
        <v>23</v>
      </c>
      <c r="Y79" s="4">
        <v>30</v>
      </c>
      <c r="Z79" s="2">
        <v>9279</v>
      </c>
      <c r="AC79" s="11">
        <f t="shared" si="6"/>
        <v>110</v>
      </c>
      <c r="AD79" s="11">
        <f t="shared" si="7"/>
        <v>116</v>
      </c>
      <c r="AE79" s="11">
        <f t="shared" si="8"/>
        <v>9279</v>
      </c>
      <c r="AF79" s="11">
        <f t="shared" si="9"/>
        <v>5500</v>
      </c>
      <c r="AG79" s="11">
        <f t="shared" si="10"/>
        <v>96.3</v>
      </c>
      <c r="AH79" s="11">
        <f t="shared" si="11"/>
        <v>65.400000000000006</v>
      </c>
      <c r="AJ79" s="40" t="s">
        <v>41</v>
      </c>
      <c r="AK79">
        <v>109</v>
      </c>
      <c r="AL79">
        <v>88</v>
      </c>
      <c r="AM79">
        <v>8949</v>
      </c>
      <c r="AN79">
        <v>5200</v>
      </c>
      <c r="AO79">
        <v>96.6</v>
      </c>
      <c r="AP79">
        <v>65.400000000000006</v>
      </c>
      <c r="AY79" s="40" t="s">
        <v>16</v>
      </c>
      <c r="AZ79" s="2">
        <v>116</v>
      </c>
    </row>
    <row r="80" spans="1:52" ht="15.75" x14ac:dyDescent="0.25">
      <c r="A80" s="4" t="s">
        <v>23</v>
      </c>
      <c r="B80" s="2">
        <v>91</v>
      </c>
      <c r="C80" s="5" t="s">
        <v>50</v>
      </c>
      <c r="D80" s="1" t="s">
        <v>1</v>
      </c>
      <c r="E80" s="5" t="s">
        <v>2</v>
      </c>
      <c r="F80" s="1" t="s">
        <v>8</v>
      </c>
      <c r="G80" s="5" t="s">
        <v>16</v>
      </c>
      <c r="H80" s="1" t="s">
        <v>17</v>
      </c>
      <c r="I80" s="5" t="s">
        <v>6</v>
      </c>
      <c r="J80" s="2">
        <v>95.7</v>
      </c>
      <c r="K80" s="4">
        <v>166.3</v>
      </c>
      <c r="L80" s="2">
        <v>64.400000000000006</v>
      </c>
      <c r="M80" s="4">
        <v>52.8</v>
      </c>
      <c r="N80" s="2">
        <v>2140</v>
      </c>
      <c r="O80" s="5" t="s">
        <v>18</v>
      </c>
      <c r="P80" s="1" t="s">
        <v>8</v>
      </c>
      <c r="Q80" s="4">
        <v>98</v>
      </c>
      <c r="R80" s="1" t="s">
        <v>28</v>
      </c>
      <c r="S80" s="4">
        <v>3.19</v>
      </c>
      <c r="T80" s="2">
        <v>3.03</v>
      </c>
      <c r="U80" s="4">
        <v>9</v>
      </c>
      <c r="V80" s="2">
        <v>70</v>
      </c>
      <c r="W80" s="4">
        <v>4800</v>
      </c>
      <c r="X80" s="2">
        <v>28</v>
      </c>
      <c r="Y80" s="4">
        <v>34</v>
      </c>
      <c r="Z80" s="2">
        <v>9258</v>
      </c>
      <c r="AC80" s="11">
        <f t="shared" si="6"/>
        <v>98</v>
      </c>
      <c r="AD80" s="11">
        <f t="shared" si="7"/>
        <v>70</v>
      </c>
      <c r="AE80" s="11">
        <f t="shared" si="8"/>
        <v>9258</v>
      </c>
      <c r="AF80" s="11">
        <f t="shared" si="9"/>
        <v>4800</v>
      </c>
      <c r="AG80" s="11">
        <f t="shared" si="10"/>
        <v>95.7</v>
      </c>
      <c r="AH80" s="11">
        <f t="shared" si="11"/>
        <v>64.400000000000006</v>
      </c>
      <c r="AJ80" s="40" t="s">
        <v>50</v>
      </c>
      <c r="AK80">
        <v>110</v>
      </c>
      <c r="AL80">
        <v>88</v>
      </c>
      <c r="AM80">
        <v>9095</v>
      </c>
      <c r="AN80">
        <v>5200</v>
      </c>
      <c r="AO80">
        <v>96.9</v>
      </c>
      <c r="AP80">
        <v>65.400000000000006</v>
      </c>
      <c r="AY80" s="40" t="s">
        <v>16</v>
      </c>
      <c r="AZ80" s="2">
        <v>70</v>
      </c>
    </row>
    <row r="81" spans="1:52" ht="15.75" x14ac:dyDescent="0.25">
      <c r="A81" s="4" t="s">
        <v>23</v>
      </c>
      <c r="B81" s="2">
        <v>102</v>
      </c>
      <c r="C81" s="5" t="s">
        <v>49</v>
      </c>
      <c r="D81" s="1" t="s">
        <v>1</v>
      </c>
      <c r="E81" s="5" t="s">
        <v>2</v>
      </c>
      <c r="F81" s="1" t="s">
        <v>8</v>
      </c>
      <c r="G81" s="5" t="s">
        <v>16</v>
      </c>
      <c r="H81" s="1" t="s">
        <v>19</v>
      </c>
      <c r="I81" s="5" t="s">
        <v>6</v>
      </c>
      <c r="J81" s="2">
        <v>97</v>
      </c>
      <c r="K81" s="4">
        <v>172</v>
      </c>
      <c r="L81" s="2">
        <v>65.400000000000006</v>
      </c>
      <c r="M81" s="4">
        <v>54.3</v>
      </c>
      <c r="N81" s="2">
        <v>2385</v>
      </c>
      <c r="O81" s="5" t="s">
        <v>47</v>
      </c>
      <c r="P81" s="1" t="s">
        <v>8</v>
      </c>
      <c r="Q81" s="4">
        <v>108</v>
      </c>
      <c r="R81" s="1" t="s">
        <v>28</v>
      </c>
      <c r="S81" s="4">
        <v>3.62</v>
      </c>
      <c r="T81" s="2">
        <v>2.64</v>
      </c>
      <c r="U81" s="4">
        <v>9</v>
      </c>
      <c r="V81" s="2">
        <v>82</v>
      </c>
      <c r="W81" s="4">
        <v>4800</v>
      </c>
      <c r="X81" s="2">
        <v>24</v>
      </c>
      <c r="Y81" s="4">
        <v>25</v>
      </c>
      <c r="Z81" s="2">
        <v>9233</v>
      </c>
      <c r="AC81" s="11">
        <f t="shared" si="6"/>
        <v>108</v>
      </c>
      <c r="AD81" s="11">
        <f t="shared" si="7"/>
        <v>82</v>
      </c>
      <c r="AE81" s="11">
        <f t="shared" si="8"/>
        <v>9233</v>
      </c>
      <c r="AF81" s="11">
        <f t="shared" si="9"/>
        <v>4800</v>
      </c>
      <c r="AG81" s="11">
        <f t="shared" si="10"/>
        <v>97</v>
      </c>
      <c r="AH81" s="11">
        <f t="shared" si="11"/>
        <v>65.400000000000006</v>
      </c>
      <c r="AJ81" s="40" t="s">
        <v>49</v>
      </c>
      <c r="AK81">
        <v>110</v>
      </c>
      <c r="AL81">
        <v>88</v>
      </c>
      <c r="AM81">
        <v>9233</v>
      </c>
      <c r="AN81">
        <v>5200</v>
      </c>
      <c r="AO81">
        <v>96.9</v>
      </c>
      <c r="AP81">
        <v>65.400000000000006</v>
      </c>
      <c r="AY81" s="40" t="s">
        <v>16</v>
      </c>
      <c r="AZ81" s="2">
        <v>82</v>
      </c>
    </row>
    <row r="82" spans="1:52" ht="15.75" x14ac:dyDescent="0.25">
      <c r="A82" s="4" t="s">
        <v>23</v>
      </c>
      <c r="B82" s="2">
        <v>106</v>
      </c>
      <c r="C82" s="5" t="s">
        <v>32</v>
      </c>
      <c r="D82" s="1" t="s">
        <v>1</v>
      </c>
      <c r="E82" s="5" t="s">
        <v>2</v>
      </c>
      <c r="F82" s="1" t="s">
        <v>3</v>
      </c>
      <c r="G82" s="5" t="s">
        <v>11</v>
      </c>
      <c r="H82" s="1" t="s">
        <v>17</v>
      </c>
      <c r="I82" s="5" t="s">
        <v>6</v>
      </c>
      <c r="J82" s="2">
        <v>96.5</v>
      </c>
      <c r="K82" s="4">
        <v>167.5</v>
      </c>
      <c r="L82" s="2">
        <v>65.2</v>
      </c>
      <c r="M82" s="4">
        <v>53.3</v>
      </c>
      <c r="N82" s="2">
        <v>2289</v>
      </c>
      <c r="O82" s="5" t="s">
        <v>18</v>
      </c>
      <c r="P82" s="1" t="s">
        <v>8</v>
      </c>
      <c r="Q82" s="4">
        <v>110</v>
      </c>
      <c r="R82" s="1" t="s">
        <v>33</v>
      </c>
      <c r="S82" s="4">
        <v>3.15</v>
      </c>
      <c r="T82" s="2">
        <v>3.58</v>
      </c>
      <c r="U82" s="4">
        <v>9</v>
      </c>
      <c r="V82" s="2">
        <v>86</v>
      </c>
      <c r="W82" s="4">
        <v>5800</v>
      </c>
      <c r="X82" s="2">
        <v>27</v>
      </c>
      <c r="Y82" s="4">
        <v>33</v>
      </c>
      <c r="Z82" s="2">
        <v>9095</v>
      </c>
      <c r="AC82" s="11">
        <f t="shared" si="6"/>
        <v>110</v>
      </c>
      <c r="AD82" s="11">
        <f t="shared" si="7"/>
        <v>86</v>
      </c>
      <c r="AE82" s="11">
        <f t="shared" si="8"/>
        <v>9095</v>
      </c>
      <c r="AF82" s="11">
        <f t="shared" si="9"/>
        <v>5800</v>
      </c>
      <c r="AG82" s="11">
        <f t="shared" si="10"/>
        <v>96.5</v>
      </c>
      <c r="AH82" s="11">
        <f t="shared" si="11"/>
        <v>65.2</v>
      </c>
      <c r="AJ82" s="40" t="s">
        <v>32</v>
      </c>
      <c r="AK82">
        <v>110</v>
      </c>
      <c r="AL82">
        <v>88</v>
      </c>
      <c r="AM82">
        <v>9258</v>
      </c>
      <c r="AN82">
        <v>5200</v>
      </c>
      <c r="AO82">
        <v>97</v>
      </c>
      <c r="AP82">
        <v>65.400000000000006</v>
      </c>
      <c r="AY82" s="40" t="s">
        <v>11</v>
      </c>
      <c r="AZ82" s="2">
        <v>86</v>
      </c>
    </row>
    <row r="83" spans="1:52" ht="15.75" x14ac:dyDescent="0.25">
      <c r="A83" s="4" t="s">
        <v>23</v>
      </c>
      <c r="B83" s="2">
        <v>106</v>
      </c>
      <c r="C83" s="5" t="s">
        <v>43</v>
      </c>
      <c r="D83" s="1" t="s">
        <v>1</v>
      </c>
      <c r="E83" s="5" t="s">
        <v>2</v>
      </c>
      <c r="F83" s="1" t="s">
        <v>8</v>
      </c>
      <c r="G83" s="5" t="s">
        <v>11</v>
      </c>
      <c r="H83" s="1" t="s">
        <v>17</v>
      </c>
      <c r="I83" s="5" t="s">
        <v>6</v>
      </c>
      <c r="J83" s="2">
        <v>97.2</v>
      </c>
      <c r="K83" s="4">
        <v>173.4</v>
      </c>
      <c r="L83" s="2">
        <v>65.2</v>
      </c>
      <c r="M83" s="4">
        <v>54.7</v>
      </c>
      <c r="N83" s="2">
        <v>2324</v>
      </c>
      <c r="O83" s="5" t="s">
        <v>18</v>
      </c>
      <c r="P83" s="1" t="s">
        <v>8</v>
      </c>
      <c r="Q83" s="4">
        <v>120</v>
      </c>
      <c r="R83" s="1" t="s">
        <v>28</v>
      </c>
      <c r="S83" s="4">
        <v>3.33</v>
      </c>
      <c r="T83" s="2">
        <v>3.47</v>
      </c>
      <c r="U83" s="4">
        <v>8.5</v>
      </c>
      <c r="V83" s="2">
        <v>97</v>
      </c>
      <c r="W83" s="4">
        <v>5200</v>
      </c>
      <c r="X83" s="2">
        <v>27</v>
      </c>
      <c r="Y83" s="4">
        <v>34</v>
      </c>
      <c r="Z83" s="2">
        <v>8949</v>
      </c>
      <c r="AC83" s="11">
        <f t="shared" si="6"/>
        <v>120</v>
      </c>
      <c r="AD83" s="11">
        <f t="shared" si="7"/>
        <v>97</v>
      </c>
      <c r="AE83" s="11">
        <f t="shared" si="8"/>
        <v>8949</v>
      </c>
      <c r="AF83" s="11">
        <f t="shared" si="9"/>
        <v>5200</v>
      </c>
      <c r="AG83" s="11">
        <f t="shared" si="10"/>
        <v>97.2</v>
      </c>
      <c r="AH83" s="11">
        <f t="shared" si="11"/>
        <v>65.2</v>
      </c>
      <c r="AJ83" s="40" t="s">
        <v>43</v>
      </c>
      <c r="AK83">
        <v>110</v>
      </c>
      <c r="AL83">
        <v>90</v>
      </c>
      <c r="AM83">
        <v>9279</v>
      </c>
      <c r="AN83">
        <v>5200</v>
      </c>
      <c r="AO83">
        <v>97</v>
      </c>
      <c r="AP83">
        <v>65.400000000000006</v>
      </c>
      <c r="AY83" s="40" t="s">
        <v>11</v>
      </c>
      <c r="AZ83" s="2">
        <v>97</v>
      </c>
    </row>
    <row r="84" spans="1:52" ht="15.75" x14ac:dyDescent="0.25">
      <c r="A84" s="4" t="s">
        <v>30</v>
      </c>
      <c r="B84" s="2">
        <v>65</v>
      </c>
      <c r="C84" s="5" t="s">
        <v>50</v>
      </c>
      <c r="D84" s="1" t="s">
        <v>1</v>
      </c>
      <c r="E84" s="5" t="s">
        <v>2</v>
      </c>
      <c r="F84" s="1" t="s">
        <v>8</v>
      </c>
      <c r="G84" s="5" t="s">
        <v>16</v>
      </c>
      <c r="H84" s="1" t="s">
        <v>17</v>
      </c>
      <c r="I84" s="5" t="s">
        <v>6</v>
      </c>
      <c r="J84" s="2">
        <v>102.4</v>
      </c>
      <c r="K84" s="4">
        <v>175.6</v>
      </c>
      <c r="L84" s="2">
        <v>66.5</v>
      </c>
      <c r="M84" s="4">
        <v>54.9</v>
      </c>
      <c r="N84" s="2">
        <v>2326</v>
      </c>
      <c r="O84" s="5" t="s">
        <v>18</v>
      </c>
      <c r="P84" s="1" t="s">
        <v>8</v>
      </c>
      <c r="Q84" s="4">
        <v>122</v>
      </c>
      <c r="R84" s="1" t="s">
        <v>9</v>
      </c>
      <c r="S84" s="4">
        <v>3.31</v>
      </c>
      <c r="T84" s="2">
        <v>3.54</v>
      </c>
      <c r="U84" s="4">
        <v>8.6999999999999993</v>
      </c>
      <c r="V84" s="2">
        <v>92</v>
      </c>
      <c r="W84" s="4">
        <v>4200</v>
      </c>
      <c r="X84" s="2">
        <v>29</v>
      </c>
      <c r="Y84" s="4">
        <v>34</v>
      </c>
      <c r="Z84" s="2">
        <v>8948</v>
      </c>
      <c r="AC84" s="11">
        <f t="shared" si="6"/>
        <v>122</v>
      </c>
      <c r="AD84" s="11">
        <f t="shared" si="7"/>
        <v>92</v>
      </c>
      <c r="AE84" s="11">
        <f t="shared" si="8"/>
        <v>8948</v>
      </c>
      <c r="AF84" s="11">
        <f t="shared" si="9"/>
        <v>4200</v>
      </c>
      <c r="AG84" s="11">
        <f t="shared" si="10"/>
        <v>102.4</v>
      </c>
      <c r="AH84" s="11">
        <f t="shared" si="11"/>
        <v>66.5</v>
      </c>
      <c r="AJ84" s="40" t="s">
        <v>50</v>
      </c>
      <c r="AK84">
        <v>110</v>
      </c>
      <c r="AL84">
        <v>92</v>
      </c>
      <c r="AM84">
        <v>9279</v>
      </c>
      <c r="AN84">
        <v>5200</v>
      </c>
      <c r="AO84">
        <v>97</v>
      </c>
      <c r="AP84">
        <v>65.400000000000006</v>
      </c>
      <c r="AY84" s="40" t="s">
        <v>16</v>
      </c>
      <c r="AZ84" s="2">
        <v>92</v>
      </c>
    </row>
    <row r="85" spans="1:52" ht="15.75" x14ac:dyDescent="0.25">
      <c r="A85" s="4" t="s">
        <v>30</v>
      </c>
      <c r="B85" s="2">
        <v>110</v>
      </c>
      <c r="C85" s="5" t="s">
        <v>29</v>
      </c>
      <c r="D85" s="1" t="s">
        <v>1</v>
      </c>
      <c r="E85" s="5" t="s">
        <v>2</v>
      </c>
      <c r="F85" s="1" t="s">
        <v>8</v>
      </c>
      <c r="G85" s="5" t="s">
        <v>21</v>
      </c>
      <c r="H85" s="1" t="s">
        <v>17</v>
      </c>
      <c r="I85" s="5" t="s">
        <v>6</v>
      </c>
      <c r="J85" s="2">
        <v>103.3</v>
      </c>
      <c r="K85" s="4">
        <v>174.6</v>
      </c>
      <c r="L85" s="2">
        <v>64.599999999999994</v>
      </c>
      <c r="M85" s="4">
        <v>59.8</v>
      </c>
      <c r="N85" s="2">
        <v>2535</v>
      </c>
      <c r="O85" s="5" t="s">
        <v>18</v>
      </c>
      <c r="P85" s="1" t="s">
        <v>8</v>
      </c>
      <c r="Q85" s="4">
        <v>122</v>
      </c>
      <c r="R85" s="1" t="s">
        <v>28</v>
      </c>
      <c r="S85" s="4">
        <v>3.34</v>
      </c>
      <c r="T85" s="2">
        <v>3.46</v>
      </c>
      <c r="U85" s="4">
        <v>8.5</v>
      </c>
      <c r="V85" s="2">
        <v>88</v>
      </c>
      <c r="W85" s="4">
        <v>5000</v>
      </c>
      <c r="X85" s="2">
        <v>24</v>
      </c>
      <c r="Y85" s="4">
        <v>30</v>
      </c>
      <c r="Z85" s="2">
        <v>8921</v>
      </c>
      <c r="AC85" s="11">
        <f t="shared" si="6"/>
        <v>122</v>
      </c>
      <c r="AD85" s="11">
        <f t="shared" si="7"/>
        <v>88</v>
      </c>
      <c r="AE85" s="11">
        <f t="shared" si="8"/>
        <v>8921</v>
      </c>
      <c r="AF85" s="11">
        <f t="shared" si="9"/>
        <v>5000</v>
      </c>
      <c r="AG85" s="11">
        <f t="shared" si="10"/>
        <v>103.3</v>
      </c>
      <c r="AH85" s="11">
        <f t="shared" si="11"/>
        <v>64.599999999999994</v>
      </c>
      <c r="AJ85" s="40" t="s">
        <v>29</v>
      </c>
      <c r="AK85">
        <v>110</v>
      </c>
      <c r="AL85">
        <v>92</v>
      </c>
      <c r="AM85">
        <v>9298</v>
      </c>
      <c r="AN85">
        <v>5200</v>
      </c>
      <c r="AO85">
        <v>97</v>
      </c>
      <c r="AP85">
        <v>65.400000000000006</v>
      </c>
      <c r="AY85" s="40" t="s">
        <v>21</v>
      </c>
      <c r="AZ85" s="2">
        <v>88</v>
      </c>
    </row>
    <row r="86" spans="1:52" ht="15.75" x14ac:dyDescent="0.25">
      <c r="A86" s="4" t="s">
        <v>30</v>
      </c>
      <c r="B86" s="2">
        <v>74</v>
      </c>
      <c r="C86" s="5" t="s">
        <v>45</v>
      </c>
      <c r="D86" s="1" t="s">
        <v>1</v>
      </c>
      <c r="E86" s="5" t="s">
        <v>2</v>
      </c>
      <c r="F86" s="1" t="s">
        <v>8</v>
      </c>
      <c r="G86" s="5" t="s">
        <v>21</v>
      </c>
      <c r="H86" s="1" t="s">
        <v>17</v>
      </c>
      <c r="I86" s="5" t="s">
        <v>6</v>
      </c>
      <c r="J86" s="2">
        <v>103.3</v>
      </c>
      <c r="K86" s="4">
        <v>174.6</v>
      </c>
      <c r="L86" s="2">
        <v>64.599999999999994</v>
      </c>
      <c r="M86" s="4">
        <v>59.8</v>
      </c>
      <c r="N86" s="2">
        <v>2535</v>
      </c>
      <c r="O86" s="5" t="s">
        <v>18</v>
      </c>
      <c r="P86" s="1" t="s">
        <v>8</v>
      </c>
      <c r="Q86" s="4">
        <v>122</v>
      </c>
      <c r="R86" s="1" t="s">
        <v>28</v>
      </c>
      <c r="S86" s="4">
        <v>3.35</v>
      </c>
      <c r="T86" s="2">
        <v>3.46</v>
      </c>
      <c r="U86" s="4">
        <v>8.5</v>
      </c>
      <c r="V86" s="2">
        <v>88</v>
      </c>
      <c r="W86" s="4">
        <v>5000</v>
      </c>
      <c r="X86" s="2">
        <v>24</v>
      </c>
      <c r="Y86" s="4">
        <v>30</v>
      </c>
      <c r="Z86" s="2">
        <v>8921</v>
      </c>
      <c r="AC86" s="11">
        <f t="shared" si="6"/>
        <v>122</v>
      </c>
      <c r="AD86" s="11">
        <f t="shared" si="7"/>
        <v>88</v>
      </c>
      <c r="AE86" s="11">
        <f t="shared" si="8"/>
        <v>8921</v>
      </c>
      <c r="AF86" s="11">
        <f t="shared" si="9"/>
        <v>5000</v>
      </c>
      <c r="AG86" s="11">
        <f t="shared" si="10"/>
        <v>103.3</v>
      </c>
      <c r="AH86" s="11">
        <f t="shared" si="11"/>
        <v>64.599999999999994</v>
      </c>
      <c r="AJ86" s="40" t="s">
        <v>45</v>
      </c>
      <c r="AK86">
        <v>110</v>
      </c>
      <c r="AL86">
        <v>92</v>
      </c>
      <c r="AM86">
        <v>9495</v>
      </c>
      <c r="AN86">
        <v>5200</v>
      </c>
      <c r="AO86">
        <v>97.2</v>
      </c>
      <c r="AP86">
        <v>65.400000000000006</v>
      </c>
      <c r="AY86" s="40" t="s">
        <v>21</v>
      </c>
      <c r="AZ86" s="2">
        <v>88</v>
      </c>
    </row>
    <row r="87" spans="1:52" ht="15.75" x14ac:dyDescent="0.25">
      <c r="A87" s="4" t="s">
        <v>23</v>
      </c>
      <c r="B87" s="2">
        <v>85</v>
      </c>
      <c r="C87" s="5" t="s">
        <v>32</v>
      </c>
      <c r="D87" s="1" t="s">
        <v>1</v>
      </c>
      <c r="E87" s="5" t="s">
        <v>2</v>
      </c>
      <c r="F87" s="1" t="s">
        <v>8</v>
      </c>
      <c r="G87" s="5" t="s">
        <v>16</v>
      </c>
      <c r="H87" s="1" t="s">
        <v>17</v>
      </c>
      <c r="I87" s="5" t="s">
        <v>6</v>
      </c>
      <c r="J87" s="2">
        <v>96.5</v>
      </c>
      <c r="K87" s="4">
        <v>175.4</v>
      </c>
      <c r="L87" s="2">
        <v>65.2</v>
      </c>
      <c r="M87" s="4">
        <v>54.1</v>
      </c>
      <c r="N87" s="2">
        <v>2304</v>
      </c>
      <c r="O87" s="5" t="s">
        <v>18</v>
      </c>
      <c r="P87" s="1" t="s">
        <v>8</v>
      </c>
      <c r="Q87" s="4">
        <v>110</v>
      </c>
      <c r="R87" s="1" t="s">
        <v>33</v>
      </c>
      <c r="S87" s="4">
        <v>3.15</v>
      </c>
      <c r="T87" s="2">
        <v>3.58</v>
      </c>
      <c r="U87" s="4">
        <v>9</v>
      </c>
      <c r="V87" s="2">
        <v>86</v>
      </c>
      <c r="W87" s="4">
        <v>5800</v>
      </c>
      <c r="X87" s="2">
        <v>27</v>
      </c>
      <c r="Y87" s="4">
        <v>33</v>
      </c>
      <c r="Z87" s="2">
        <v>8845</v>
      </c>
      <c r="AC87" s="11">
        <f t="shared" si="6"/>
        <v>110</v>
      </c>
      <c r="AD87" s="11">
        <f t="shared" si="7"/>
        <v>86</v>
      </c>
      <c r="AE87" s="11">
        <f t="shared" si="8"/>
        <v>8845</v>
      </c>
      <c r="AF87" s="11">
        <f t="shared" si="9"/>
        <v>5800</v>
      </c>
      <c r="AG87" s="11">
        <f t="shared" si="10"/>
        <v>96.5</v>
      </c>
      <c r="AH87" s="11">
        <f t="shared" si="11"/>
        <v>65.2</v>
      </c>
      <c r="AJ87" s="40" t="s">
        <v>32</v>
      </c>
      <c r="AK87">
        <v>110</v>
      </c>
      <c r="AL87">
        <v>92</v>
      </c>
      <c r="AM87">
        <v>9538</v>
      </c>
      <c r="AN87">
        <v>5200</v>
      </c>
      <c r="AO87">
        <v>97.2</v>
      </c>
      <c r="AP87">
        <v>65.400000000000006</v>
      </c>
      <c r="AY87" s="40" t="s">
        <v>16</v>
      </c>
      <c r="AZ87" s="2">
        <v>86</v>
      </c>
    </row>
    <row r="88" spans="1:52" ht="15.75" x14ac:dyDescent="0.25">
      <c r="A88" s="4" t="s">
        <v>10</v>
      </c>
      <c r="B88" s="2">
        <v>129</v>
      </c>
      <c r="C88" s="5" t="s">
        <v>35</v>
      </c>
      <c r="D88" s="1" t="s">
        <v>1</v>
      </c>
      <c r="E88" s="5" t="s">
        <v>2</v>
      </c>
      <c r="F88" s="1" t="s">
        <v>3</v>
      </c>
      <c r="G88" s="5" t="s">
        <v>11</v>
      </c>
      <c r="H88" s="1" t="s">
        <v>17</v>
      </c>
      <c r="I88" s="5" t="s">
        <v>6</v>
      </c>
      <c r="J88" s="2">
        <v>98.8</v>
      </c>
      <c r="K88" s="4">
        <v>177.8</v>
      </c>
      <c r="L88" s="2">
        <v>66.5</v>
      </c>
      <c r="M88" s="4">
        <v>53.7</v>
      </c>
      <c r="N88" s="2">
        <v>2385</v>
      </c>
      <c r="O88" s="5" t="s">
        <v>18</v>
      </c>
      <c r="P88" s="1" t="s">
        <v>8</v>
      </c>
      <c r="Q88" s="4">
        <v>122</v>
      </c>
      <c r="R88" s="1" t="s">
        <v>28</v>
      </c>
      <c r="S88" s="4">
        <v>3.39</v>
      </c>
      <c r="T88" s="2">
        <v>3.39</v>
      </c>
      <c r="U88" s="4">
        <v>8.6</v>
      </c>
      <c r="V88" s="2">
        <v>84</v>
      </c>
      <c r="W88" s="4">
        <v>4800</v>
      </c>
      <c r="X88" s="2">
        <v>26</v>
      </c>
      <c r="Y88" s="4">
        <v>32</v>
      </c>
      <c r="Z88" s="2">
        <v>8845</v>
      </c>
      <c r="AC88" s="11">
        <f t="shared" si="6"/>
        <v>122</v>
      </c>
      <c r="AD88" s="11">
        <f t="shared" si="7"/>
        <v>84</v>
      </c>
      <c r="AE88" s="11">
        <f t="shared" si="8"/>
        <v>8845</v>
      </c>
      <c r="AF88" s="11">
        <f t="shared" si="9"/>
        <v>4800</v>
      </c>
      <c r="AG88" s="11">
        <f t="shared" si="10"/>
        <v>98.8</v>
      </c>
      <c r="AH88" s="11">
        <f t="shared" si="11"/>
        <v>66.5</v>
      </c>
      <c r="AJ88" s="40" t="s">
        <v>35</v>
      </c>
      <c r="AK88">
        <v>110</v>
      </c>
      <c r="AL88">
        <v>94</v>
      </c>
      <c r="AM88">
        <v>9549</v>
      </c>
      <c r="AN88">
        <v>5200</v>
      </c>
      <c r="AO88">
        <v>97.2</v>
      </c>
      <c r="AP88">
        <v>65.400000000000006</v>
      </c>
      <c r="AY88" s="40" t="s">
        <v>11</v>
      </c>
      <c r="AZ88" s="2">
        <v>84</v>
      </c>
    </row>
    <row r="89" spans="1:52" ht="15.75" x14ac:dyDescent="0.25">
      <c r="A89" s="4" t="s">
        <v>23</v>
      </c>
      <c r="B89" s="2">
        <v>91</v>
      </c>
      <c r="C89" s="5" t="s">
        <v>50</v>
      </c>
      <c r="D89" s="1" t="s">
        <v>1</v>
      </c>
      <c r="E89" s="5" t="s">
        <v>2</v>
      </c>
      <c r="F89" s="1" t="s">
        <v>8</v>
      </c>
      <c r="G89" s="5" t="s">
        <v>21</v>
      </c>
      <c r="H89" s="1" t="s">
        <v>19</v>
      </c>
      <c r="I89" s="5" t="s">
        <v>6</v>
      </c>
      <c r="J89" s="2">
        <v>95.7</v>
      </c>
      <c r="K89" s="4">
        <v>169.7</v>
      </c>
      <c r="L89" s="2">
        <v>63.6</v>
      </c>
      <c r="M89" s="4">
        <v>59.1</v>
      </c>
      <c r="N89" s="2">
        <v>3110</v>
      </c>
      <c r="O89" s="5" t="s">
        <v>18</v>
      </c>
      <c r="P89" s="1" t="s">
        <v>8</v>
      </c>
      <c r="Q89" s="4">
        <v>92</v>
      </c>
      <c r="R89" s="1" t="s">
        <v>28</v>
      </c>
      <c r="S89" s="4">
        <v>3.05</v>
      </c>
      <c r="T89" s="2">
        <v>3.03</v>
      </c>
      <c r="U89" s="4">
        <v>9</v>
      </c>
      <c r="V89" s="2">
        <v>62</v>
      </c>
      <c r="W89" s="4">
        <v>4800</v>
      </c>
      <c r="X89" s="2">
        <v>27</v>
      </c>
      <c r="Y89" s="4">
        <v>32</v>
      </c>
      <c r="Z89" s="2">
        <v>8778</v>
      </c>
      <c r="AC89" s="11">
        <f t="shared" si="6"/>
        <v>92</v>
      </c>
      <c r="AD89" s="11">
        <f t="shared" si="7"/>
        <v>62</v>
      </c>
      <c r="AE89" s="11">
        <f t="shared" si="8"/>
        <v>8778</v>
      </c>
      <c r="AF89" s="11">
        <f t="shared" si="9"/>
        <v>4800</v>
      </c>
      <c r="AG89" s="11">
        <f t="shared" si="10"/>
        <v>95.7</v>
      </c>
      <c r="AH89" s="11">
        <f t="shared" si="11"/>
        <v>63.6</v>
      </c>
      <c r="AJ89" s="40" t="s">
        <v>50</v>
      </c>
      <c r="AK89">
        <v>110</v>
      </c>
      <c r="AL89">
        <v>94</v>
      </c>
      <c r="AM89">
        <v>9639</v>
      </c>
      <c r="AN89">
        <v>5200</v>
      </c>
      <c r="AO89">
        <v>97.2</v>
      </c>
      <c r="AP89">
        <v>65.400000000000006</v>
      </c>
      <c r="AY89" s="40" t="s">
        <v>21</v>
      </c>
      <c r="AZ89" s="2">
        <v>62</v>
      </c>
    </row>
    <row r="90" spans="1:52" ht="15.75" x14ac:dyDescent="0.25">
      <c r="A90" s="4" t="s">
        <v>0</v>
      </c>
      <c r="B90" s="2">
        <v>153</v>
      </c>
      <c r="C90" s="5" t="s">
        <v>41</v>
      </c>
      <c r="D90" s="1" t="s">
        <v>1</v>
      </c>
      <c r="E90" s="5" t="s">
        <v>2</v>
      </c>
      <c r="F90" s="1" t="s">
        <v>3</v>
      </c>
      <c r="G90" s="5" t="s">
        <v>11</v>
      </c>
      <c r="H90" s="1" t="s">
        <v>17</v>
      </c>
      <c r="I90" s="5" t="s">
        <v>6</v>
      </c>
      <c r="J90" s="2">
        <v>96.3</v>
      </c>
      <c r="K90" s="4">
        <v>173</v>
      </c>
      <c r="L90" s="2">
        <v>65.400000000000006</v>
      </c>
      <c r="M90" s="4">
        <v>49.4</v>
      </c>
      <c r="N90" s="2">
        <v>2328</v>
      </c>
      <c r="O90" s="5" t="s">
        <v>18</v>
      </c>
      <c r="P90" s="1" t="s">
        <v>8</v>
      </c>
      <c r="Q90" s="4">
        <v>122</v>
      </c>
      <c r="R90" s="1" t="s">
        <v>28</v>
      </c>
      <c r="S90" s="4">
        <v>3.35</v>
      </c>
      <c r="T90" s="2">
        <v>3.46</v>
      </c>
      <c r="U90" s="4">
        <v>8.5</v>
      </c>
      <c r="V90" s="2">
        <v>88</v>
      </c>
      <c r="W90" s="4">
        <v>5000</v>
      </c>
      <c r="X90" s="2">
        <v>25</v>
      </c>
      <c r="Y90" s="4">
        <v>32</v>
      </c>
      <c r="Z90" s="2">
        <v>8499</v>
      </c>
      <c r="AC90" s="11">
        <f t="shared" si="6"/>
        <v>122</v>
      </c>
      <c r="AD90" s="11">
        <f t="shared" si="7"/>
        <v>88</v>
      </c>
      <c r="AE90" s="11">
        <f t="shared" si="8"/>
        <v>8499</v>
      </c>
      <c r="AF90" s="11">
        <f t="shared" si="9"/>
        <v>5000</v>
      </c>
      <c r="AG90" s="11">
        <f t="shared" si="10"/>
        <v>96.3</v>
      </c>
      <c r="AH90" s="11">
        <f t="shared" si="11"/>
        <v>65.400000000000006</v>
      </c>
      <c r="AJ90" s="40" t="s">
        <v>41</v>
      </c>
      <c r="AK90">
        <v>110</v>
      </c>
      <c r="AL90">
        <v>95</v>
      </c>
      <c r="AM90">
        <v>9959</v>
      </c>
      <c r="AN90">
        <v>5200</v>
      </c>
      <c r="AO90">
        <v>97.2</v>
      </c>
      <c r="AP90">
        <v>65.400000000000006</v>
      </c>
      <c r="AY90" s="40" t="s">
        <v>11</v>
      </c>
      <c r="AZ90" s="2">
        <v>88</v>
      </c>
    </row>
    <row r="91" spans="1:52" ht="15.75" x14ac:dyDescent="0.25">
      <c r="A91" s="4" t="s">
        <v>23</v>
      </c>
      <c r="B91" s="2">
        <v>115</v>
      </c>
      <c r="C91" s="5" t="s">
        <v>35</v>
      </c>
      <c r="D91" s="1" t="s">
        <v>1</v>
      </c>
      <c r="E91" s="5" t="s">
        <v>2</v>
      </c>
      <c r="F91" s="1" t="s">
        <v>8</v>
      </c>
      <c r="G91" s="5" t="s">
        <v>16</v>
      </c>
      <c r="H91" s="1" t="s">
        <v>17</v>
      </c>
      <c r="I91" s="5" t="s">
        <v>6</v>
      </c>
      <c r="J91" s="2">
        <v>98.8</v>
      </c>
      <c r="K91" s="4">
        <v>177.8</v>
      </c>
      <c r="L91" s="2">
        <v>66.5</v>
      </c>
      <c r="M91" s="4">
        <v>55.5</v>
      </c>
      <c r="N91" s="2">
        <v>2410</v>
      </c>
      <c r="O91" s="5" t="s">
        <v>18</v>
      </c>
      <c r="P91" s="1" t="s">
        <v>8</v>
      </c>
      <c r="Q91" s="4">
        <v>122</v>
      </c>
      <c r="R91" s="1" t="s">
        <v>28</v>
      </c>
      <c r="S91" s="4">
        <v>3.39</v>
      </c>
      <c r="T91" s="2">
        <v>3.39</v>
      </c>
      <c r="U91" s="4">
        <v>8.6</v>
      </c>
      <c r="V91" s="2">
        <v>84</v>
      </c>
      <c r="W91" s="4">
        <v>4800</v>
      </c>
      <c r="X91" s="2">
        <v>26</v>
      </c>
      <c r="Y91" s="4">
        <v>32</v>
      </c>
      <c r="Z91" s="2">
        <v>8495</v>
      </c>
      <c r="AC91" s="11">
        <f t="shared" si="6"/>
        <v>122</v>
      </c>
      <c r="AD91" s="11">
        <f t="shared" si="7"/>
        <v>84</v>
      </c>
      <c r="AE91" s="11">
        <f t="shared" si="8"/>
        <v>8495</v>
      </c>
      <c r="AF91" s="11">
        <f t="shared" si="9"/>
        <v>4800</v>
      </c>
      <c r="AG91" s="11">
        <f t="shared" si="10"/>
        <v>98.8</v>
      </c>
      <c r="AH91" s="11">
        <f t="shared" si="11"/>
        <v>66.5</v>
      </c>
      <c r="AJ91" s="40" t="s">
        <v>35</v>
      </c>
      <c r="AK91">
        <v>110</v>
      </c>
      <c r="AL91">
        <v>95</v>
      </c>
      <c r="AM91">
        <v>9960</v>
      </c>
      <c r="AN91">
        <v>5200</v>
      </c>
      <c r="AO91">
        <v>97.3</v>
      </c>
      <c r="AP91">
        <v>65.5</v>
      </c>
      <c r="AY91" s="40" t="s">
        <v>16</v>
      </c>
      <c r="AZ91" s="2">
        <v>84</v>
      </c>
    </row>
    <row r="92" spans="1:52" ht="15.75" x14ac:dyDescent="0.25">
      <c r="A92" s="4" t="s">
        <v>14</v>
      </c>
      <c r="B92" s="2">
        <v>94</v>
      </c>
      <c r="C92" s="5" t="s">
        <v>51</v>
      </c>
      <c r="D92" s="1" t="s">
        <v>1</v>
      </c>
      <c r="E92" s="5" t="s">
        <v>2</v>
      </c>
      <c r="F92" s="1" t="s">
        <v>8</v>
      </c>
      <c r="G92" s="5" t="s">
        <v>16</v>
      </c>
      <c r="H92" s="1" t="s">
        <v>17</v>
      </c>
      <c r="I92" s="5" t="s">
        <v>6</v>
      </c>
      <c r="J92" s="2">
        <v>97.3</v>
      </c>
      <c r="K92" s="4">
        <v>171.7</v>
      </c>
      <c r="L92" s="2">
        <v>65.5</v>
      </c>
      <c r="M92" s="4">
        <v>55.7</v>
      </c>
      <c r="N92" s="2">
        <v>2275</v>
      </c>
      <c r="O92" s="5" t="s">
        <v>18</v>
      </c>
      <c r="P92" s="1" t="s">
        <v>8</v>
      </c>
      <c r="Q92" s="4">
        <v>109</v>
      </c>
      <c r="R92" s="1" t="s">
        <v>9</v>
      </c>
      <c r="S92" s="4">
        <v>3.19</v>
      </c>
      <c r="T92" s="2">
        <v>3.4</v>
      </c>
      <c r="U92" s="4">
        <v>9</v>
      </c>
      <c r="V92" s="2">
        <v>85</v>
      </c>
      <c r="W92" s="4">
        <v>5250</v>
      </c>
      <c r="X92" s="2">
        <v>27</v>
      </c>
      <c r="Y92" s="4">
        <v>34</v>
      </c>
      <c r="Z92" s="2">
        <v>8495</v>
      </c>
      <c r="AC92" s="11">
        <f t="shared" si="6"/>
        <v>109</v>
      </c>
      <c r="AD92" s="11">
        <f t="shared" si="7"/>
        <v>85</v>
      </c>
      <c r="AE92" s="11">
        <f t="shared" si="8"/>
        <v>8495</v>
      </c>
      <c r="AF92" s="11">
        <f t="shared" si="9"/>
        <v>5250</v>
      </c>
      <c r="AG92" s="11">
        <f t="shared" si="10"/>
        <v>97.3</v>
      </c>
      <c r="AH92" s="11">
        <f t="shared" si="11"/>
        <v>65.5</v>
      </c>
      <c r="AJ92" s="40" t="s">
        <v>51</v>
      </c>
      <c r="AK92">
        <v>120</v>
      </c>
      <c r="AL92">
        <v>95</v>
      </c>
      <c r="AM92">
        <v>9980</v>
      </c>
      <c r="AN92">
        <v>5200</v>
      </c>
      <c r="AO92">
        <v>97.3</v>
      </c>
      <c r="AP92">
        <v>65.5</v>
      </c>
      <c r="AY92" s="40" t="s">
        <v>16</v>
      </c>
      <c r="AZ92" s="2">
        <v>85</v>
      </c>
    </row>
    <row r="93" spans="1:52" ht="15.75" x14ac:dyDescent="0.25">
      <c r="A93" s="4" t="s">
        <v>14</v>
      </c>
      <c r="B93" s="2">
        <v>134</v>
      </c>
      <c r="C93" s="5" t="s">
        <v>50</v>
      </c>
      <c r="D93" s="1" t="s">
        <v>1</v>
      </c>
      <c r="E93" s="5" t="s">
        <v>2</v>
      </c>
      <c r="F93" s="1" t="s">
        <v>3</v>
      </c>
      <c r="G93" s="5" t="s">
        <v>39</v>
      </c>
      <c r="H93" s="1" t="s">
        <v>5</v>
      </c>
      <c r="I93" s="5" t="s">
        <v>6</v>
      </c>
      <c r="J93" s="2">
        <v>98.4</v>
      </c>
      <c r="K93" s="4">
        <v>176.2</v>
      </c>
      <c r="L93" s="2">
        <v>65.599999999999994</v>
      </c>
      <c r="M93" s="4">
        <v>52</v>
      </c>
      <c r="N93" s="2">
        <v>2540</v>
      </c>
      <c r="O93" s="5" t="s">
        <v>18</v>
      </c>
      <c r="P93" s="1" t="s">
        <v>8</v>
      </c>
      <c r="Q93" s="4">
        <v>146</v>
      </c>
      <c r="R93" s="1" t="s">
        <v>9</v>
      </c>
      <c r="S93" s="4">
        <v>3.62</v>
      </c>
      <c r="T93" s="2">
        <v>3.5</v>
      </c>
      <c r="U93" s="4">
        <v>9.3000000000000007</v>
      </c>
      <c r="V93" s="2">
        <v>116</v>
      </c>
      <c r="W93" s="4">
        <v>4800</v>
      </c>
      <c r="X93" s="2">
        <v>24</v>
      </c>
      <c r="Y93" s="4">
        <v>30</v>
      </c>
      <c r="Z93" s="2">
        <v>8449</v>
      </c>
      <c r="AC93" s="11">
        <f t="shared" si="6"/>
        <v>146</v>
      </c>
      <c r="AD93" s="11">
        <f t="shared" si="7"/>
        <v>116</v>
      </c>
      <c r="AE93" s="11">
        <f t="shared" si="8"/>
        <v>8449</v>
      </c>
      <c r="AF93" s="11">
        <f t="shared" si="9"/>
        <v>4800</v>
      </c>
      <c r="AG93" s="11">
        <f t="shared" si="10"/>
        <v>98.4</v>
      </c>
      <c r="AH93" s="11">
        <f t="shared" si="11"/>
        <v>65.599999999999994</v>
      </c>
      <c r="AJ93" s="40" t="s">
        <v>50</v>
      </c>
      <c r="AK93">
        <v>120</v>
      </c>
      <c r="AL93">
        <v>95</v>
      </c>
      <c r="AM93">
        <v>9988</v>
      </c>
      <c r="AN93">
        <v>5200</v>
      </c>
      <c r="AO93">
        <v>97.3</v>
      </c>
      <c r="AP93">
        <v>65.5</v>
      </c>
      <c r="AY93" s="40" t="s">
        <v>39</v>
      </c>
      <c r="AZ93" s="2">
        <v>116</v>
      </c>
    </row>
    <row r="94" spans="1:52" ht="15.75" x14ac:dyDescent="0.25">
      <c r="A94" s="4" t="s">
        <v>23</v>
      </c>
      <c r="B94" s="2">
        <v>91</v>
      </c>
      <c r="C94" s="5" t="s">
        <v>50</v>
      </c>
      <c r="D94" s="1" t="s">
        <v>1</v>
      </c>
      <c r="E94" s="5" t="s">
        <v>2</v>
      </c>
      <c r="F94" s="1" t="s">
        <v>8</v>
      </c>
      <c r="G94" s="5" t="s">
        <v>11</v>
      </c>
      <c r="H94" s="1" t="s">
        <v>17</v>
      </c>
      <c r="I94" s="5" t="s">
        <v>6</v>
      </c>
      <c r="J94" s="2">
        <v>95.7</v>
      </c>
      <c r="K94" s="4">
        <v>166.3</v>
      </c>
      <c r="L94" s="2">
        <v>64.400000000000006</v>
      </c>
      <c r="M94" s="4">
        <v>52.8</v>
      </c>
      <c r="N94" s="2">
        <v>2122</v>
      </c>
      <c r="O94" s="5" t="s">
        <v>18</v>
      </c>
      <c r="P94" s="1" t="s">
        <v>8</v>
      </c>
      <c r="Q94" s="4">
        <v>98</v>
      </c>
      <c r="R94" s="1" t="s">
        <v>28</v>
      </c>
      <c r="S94" s="4">
        <v>3.19</v>
      </c>
      <c r="T94" s="2">
        <v>3.03</v>
      </c>
      <c r="U94" s="4">
        <v>9</v>
      </c>
      <c r="V94" s="2">
        <v>70</v>
      </c>
      <c r="W94" s="4">
        <v>4800</v>
      </c>
      <c r="X94" s="2">
        <v>28</v>
      </c>
      <c r="Y94" s="4">
        <v>34</v>
      </c>
      <c r="Z94" s="2">
        <v>8358</v>
      </c>
      <c r="AC94" s="11">
        <f t="shared" si="6"/>
        <v>98</v>
      </c>
      <c r="AD94" s="11">
        <f t="shared" si="7"/>
        <v>70</v>
      </c>
      <c r="AE94" s="11">
        <f t="shared" si="8"/>
        <v>8358</v>
      </c>
      <c r="AF94" s="11">
        <f t="shared" si="9"/>
        <v>4800</v>
      </c>
      <c r="AG94" s="11">
        <f t="shared" si="10"/>
        <v>95.7</v>
      </c>
      <c r="AH94" s="11">
        <f t="shared" si="11"/>
        <v>64.400000000000006</v>
      </c>
      <c r="AJ94" s="40" t="s">
        <v>50</v>
      </c>
      <c r="AK94">
        <v>120</v>
      </c>
      <c r="AL94">
        <v>97</v>
      </c>
      <c r="AM94">
        <v>9989</v>
      </c>
      <c r="AN94">
        <v>5200</v>
      </c>
      <c r="AO94">
        <v>97.3</v>
      </c>
      <c r="AP94">
        <v>65.5</v>
      </c>
      <c r="AY94" s="40" t="s">
        <v>11</v>
      </c>
      <c r="AZ94" s="2">
        <v>70</v>
      </c>
    </row>
    <row r="95" spans="1:52" ht="15.75" x14ac:dyDescent="0.25">
      <c r="A95" s="4" t="s">
        <v>14</v>
      </c>
      <c r="B95" s="2">
        <v>168</v>
      </c>
      <c r="C95" s="5" t="s">
        <v>43</v>
      </c>
      <c r="D95" s="1" t="s">
        <v>1</v>
      </c>
      <c r="E95" s="5" t="s">
        <v>2</v>
      </c>
      <c r="F95" s="1" t="s">
        <v>3</v>
      </c>
      <c r="G95" s="5" t="s">
        <v>39</v>
      </c>
      <c r="H95" s="1" t="s">
        <v>17</v>
      </c>
      <c r="I95" s="5" t="s">
        <v>6</v>
      </c>
      <c r="J95" s="2">
        <v>95.1</v>
      </c>
      <c r="K95" s="4">
        <v>162.4</v>
      </c>
      <c r="L95" s="2">
        <v>63.8</v>
      </c>
      <c r="M95" s="4">
        <v>53.3</v>
      </c>
      <c r="N95" s="2">
        <v>2008</v>
      </c>
      <c r="O95" s="5" t="s">
        <v>18</v>
      </c>
      <c r="P95" s="1" t="s">
        <v>8</v>
      </c>
      <c r="Q95" s="4">
        <v>97</v>
      </c>
      <c r="R95" s="1" t="s">
        <v>28</v>
      </c>
      <c r="S95" s="4">
        <v>3.15</v>
      </c>
      <c r="T95" s="2">
        <v>3.29</v>
      </c>
      <c r="U95" s="4">
        <v>9.4</v>
      </c>
      <c r="V95" s="2">
        <v>69</v>
      </c>
      <c r="W95" s="4">
        <v>5200</v>
      </c>
      <c r="X95" s="2">
        <v>31</v>
      </c>
      <c r="Y95" s="4">
        <v>37</v>
      </c>
      <c r="Z95" s="2">
        <v>8249</v>
      </c>
      <c r="AC95" s="11">
        <f t="shared" si="6"/>
        <v>97</v>
      </c>
      <c r="AD95" s="11">
        <f t="shared" si="7"/>
        <v>69</v>
      </c>
      <c r="AE95" s="11">
        <f t="shared" si="8"/>
        <v>8249</v>
      </c>
      <c r="AF95" s="11">
        <f t="shared" si="9"/>
        <v>5200</v>
      </c>
      <c r="AG95" s="11">
        <f t="shared" si="10"/>
        <v>95.1</v>
      </c>
      <c r="AH95" s="11">
        <f t="shared" si="11"/>
        <v>63.8</v>
      </c>
      <c r="AJ95" s="40" t="s">
        <v>43</v>
      </c>
      <c r="AK95">
        <v>120</v>
      </c>
      <c r="AL95">
        <v>97</v>
      </c>
      <c r="AM95">
        <v>9995</v>
      </c>
      <c r="AN95">
        <v>5200</v>
      </c>
      <c r="AO95">
        <v>97.3</v>
      </c>
      <c r="AP95">
        <v>65.5</v>
      </c>
      <c r="AY95" s="40" t="s">
        <v>39</v>
      </c>
      <c r="AZ95" s="2">
        <v>69</v>
      </c>
    </row>
    <row r="96" spans="1:52" ht="15.75" x14ac:dyDescent="0.25">
      <c r="A96" s="4" t="s">
        <v>10</v>
      </c>
      <c r="B96" s="2">
        <v>168</v>
      </c>
      <c r="C96" s="5" t="s">
        <v>50</v>
      </c>
      <c r="D96" s="1" t="s">
        <v>1</v>
      </c>
      <c r="E96" s="5" t="s">
        <v>2</v>
      </c>
      <c r="F96" s="1" t="s">
        <v>3</v>
      </c>
      <c r="G96" s="5" t="s">
        <v>11</v>
      </c>
      <c r="H96" s="1" t="s">
        <v>5</v>
      </c>
      <c r="I96" s="5" t="s">
        <v>6</v>
      </c>
      <c r="J96" s="2">
        <v>94.5</v>
      </c>
      <c r="K96" s="4">
        <v>168.7</v>
      </c>
      <c r="L96" s="2">
        <v>64</v>
      </c>
      <c r="M96" s="4">
        <v>52.6</v>
      </c>
      <c r="N96" s="2">
        <v>2204</v>
      </c>
      <c r="O96" s="5" t="s">
        <v>18</v>
      </c>
      <c r="P96" s="1" t="s">
        <v>8</v>
      </c>
      <c r="Q96" s="4">
        <v>98</v>
      </c>
      <c r="R96" s="1" t="s">
        <v>28</v>
      </c>
      <c r="S96" s="4">
        <v>3.19</v>
      </c>
      <c r="T96" s="2">
        <v>3.03</v>
      </c>
      <c r="U96" s="4">
        <v>9</v>
      </c>
      <c r="V96" s="2">
        <v>70</v>
      </c>
      <c r="W96" s="4">
        <v>4800</v>
      </c>
      <c r="X96" s="2">
        <v>29</v>
      </c>
      <c r="Y96" s="4">
        <v>34</v>
      </c>
      <c r="Z96" s="2">
        <v>8238</v>
      </c>
      <c r="AC96" s="11">
        <f t="shared" si="6"/>
        <v>98</v>
      </c>
      <c r="AD96" s="11">
        <f t="shared" si="7"/>
        <v>70</v>
      </c>
      <c r="AE96" s="11">
        <f t="shared" si="8"/>
        <v>8238</v>
      </c>
      <c r="AF96" s="11">
        <f t="shared" si="9"/>
        <v>4800</v>
      </c>
      <c r="AG96" s="11">
        <f t="shared" si="10"/>
        <v>94.5</v>
      </c>
      <c r="AH96" s="11">
        <f t="shared" si="11"/>
        <v>64</v>
      </c>
      <c r="AJ96" s="40" t="s">
        <v>50</v>
      </c>
      <c r="AK96">
        <v>120</v>
      </c>
      <c r="AL96">
        <v>97</v>
      </c>
      <c r="AM96">
        <v>10198</v>
      </c>
      <c r="AN96">
        <v>5200</v>
      </c>
      <c r="AO96">
        <v>97.3</v>
      </c>
      <c r="AP96">
        <v>65.5</v>
      </c>
      <c r="AY96" s="40" t="s">
        <v>11</v>
      </c>
      <c r="AZ96" s="2">
        <v>70</v>
      </c>
    </row>
    <row r="97" spans="1:52" ht="15.75" x14ac:dyDescent="0.25">
      <c r="A97" s="4" t="s">
        <v>14</v>
      </c>
      <c r="B97" s="2">
        <v>94</v>
      </c>
      <c r="C97" s="5" t="s">
        <v>51</v>
      </c>
      <c r="D97" s="1" t="s">
        <v>1</v>
      </c>
      <c r="E97" s="5" t="s">
        <v>2</v>
      </c>
      <c r="F97" s="1" t="s">
        <v>8</v>
      </c>
      <c r="G97" s="5" t="s">
        <v>16</v>
      </c>
      <c r="H97" s="1" t="s">
        <v>17</v>
      </c>
      <c r="I97" s="5" t="s">
        <v>6</v>
      </c>
      <c r="J97" s="2">
        <v>97.3</v>
      </c>
      <c r="K97" s="4">
        <v>171.7</v>
      </c>
      <c r="L97" s="2">
        <v>65.5</v>
      </c>
      <c r="M97" s="4">
        <v>55.7</v>
      </c>
      <c r="N97" s="2">
        <v>2212</v>
      </c>
      <c r="O97" s="5" t="s">
        <v>18</v>
      </c>
      <c r="P97" s="1" t="s">
        <v>8</v>
      </c>
      <c r="Q97" s="4">
        <v>109</v>
      </c>
      <c r="R97" s="1" t="s">
        <v>9</v>
      </c>
      <c r="S97" s="4">
        <v>3.19</v>
      </c>
      <c r="T97" s="2">
        <v>3.4</v>
      </c>
      <c r="U97" s="4">
        <v>9</v>
      </c>
      <c r="V97" s="2">
        <v>85</v>
      </c>
      <c r="W97" s="4">
        <v>5250</v>
      </c>
      <c r="X97" s="2">
        <v>27</v>
      </c>
      <c r="Y97" s="4">
        <v>34</v>
      </c>
      <c r="Z97" s="2">
        <v>8195</v>
      </c>
      <c r="AC97" s="11">
        <f t="shared" si="6"/>
        <v>109</v>
      </c>
      <c r="AD97" s="11">
        <f t="shared" si="7"/>
        <v>85</v>
      </c>
      <c r="AE97" s="11">
        <f t="shared" si="8"/>
        <v>8195</v>
      </c>
      <c r="AF97" s="11">
        <f t="shared" si="9"/>
        <v>5250</v>
      </c>
      <c r="AG97" s="11">
        <f t="shared" si="10"/>
        <v>97.3</v>
      </c>
      <c r="AH97" s="11">
        <f t="shared" si="11"/>
        <v>65.5</v>
      </c>
      <c r="AJ97" s="40" t="s">
        <v>51</v>
      </c>
      <c r="AK97">
        <v>121</v>
      </c>
      <c r="AL97">
        <v>97</v>
      </c>
      <c r="AM97">
        <v>10245</v>
      </c>
      <c r="AN97">
        <v>5200</v>
      </c>
      <c r="AO97">
        <v>97.3</v>
      </c>
      <c r="AP97">
        <v>65.5</v>
      </c>
      <c r="AY97" s="40" t="s">
        <v>16</v>
      </c>
      <c r="AZ97" s="2">
        <v>85</v>
      </c>
    </row>
    <row r="98" spans="1:52" ht="15.75" x14ac:dyDescent="0.25">
      <c r="A98" s="4" t="s">
        <v>10</v>
      </c>
      <c r="B98" s="2">
        <v>125</v>
      </c>
      <c r="C98" s="5" t="s">
        <v>41</v>
      </c>
      <c r="D98" s="1" t="s">
        <v>1</v>
      </c>
      <c r="E98" s="5" t="s">
        <v>2</v>
      </c>
      <c r="F98" s="1" t="s">
        <v>8</v>
      </c>
      <c r="G98" s="5" t="s">
        <v>16</v>
      </c>
      <c r="H98" s="1" t="s">
        <v>17</v>
      </c>
      <c r="I98" s="5" t="s">
        <v>6</v>
      </c>
      <c r="J98" s="2">
        <v>96.3</v>
      </c>
      <c r="K98" s="4">
        <v>172.4</v>
      </c>
      <c r="L98" s="2">
        <v>65.400000000000006</v>
      </c>
      <c r="M98" s="4">
        <v>51.6</v>
      </c>
      <c r="N98" s="2">
        <v>2405</v>
      </c>
      <c r="O98" s="5" t="s">
        <v>18</v>
      </c>
      <c r="P98" s="1" t="s">
        <v>8</v>
      </c>
      <c r="Q98" s="4">
        <v>122</v>
      </c>
      <c r="R98" s="1" t="s">
        <v>28</v>
      </c>
      <c r="S98" s="4">
        <v>3.35</v>
      </c>
      <c r="T98" s="2">
        <v>3.46</v>
      </c>
      <c r="U98" s="4">
        <v>8.5</v>
      </c>
      <c r="V98" s="2">
        <v>88</v>
      </c>
      <c r="W98" s="4">
        <v>5000</v>
      </c>
      <c r="X98" s="2">
        <v>25</v>
      </c>
      <c r="Y98" s="4">
        <v>32</v>
      </c>
      <c r="Z98" s="2">
        <v>8189</v>
      </c>
      <c r="AC98" s="11">
        <f t="shared" si="6"/>
        <v>122</v>
      </c>
      <c r="AD98" s="11">
        <f t="shared" si="7"/>
        <v>88</v>
      </c>
      <c r="AE98" s="11">
        <f t="shared" si="8"/>
        <v>8189</v>
      </c>
      <c r="AF98" s="11">
        <f t="shared" si="9"/>
        <v>5000</v>
      </c>
      <c r="AG98" s="11">
        <f t="shared" si="10"/>
        <v>96.3</v>
      </c>
      <c r="AH98" s="11">
        <f t="shared" si="11"/>
        <v>65.400000000000006</v>
      </c>
      <c r="AJ98" s="40" t="s">
        <v>41</v>
      </c>
      <c r="AK98">
        <v>121</v>
      </c>
      <c r="AL98">
        <v>100</v>
      </c>
      <c r="AM98">
        <v>10295</v>
      </c>
      <c r="AN98">
        <v>5200</v>
      </c>
      <c r="AO98">
        <v>98.4</v>
      </c>
      <c r="AP98">
        <v>65.599999999999994</v>
      </c>
      <c r="AY98" s="40" t="s">
        <v>16</v>
      </c>
      <c r="AZ98" s="2">
        <v>88</v>
      </c>
    </row>
    <row r="99" spans="1:52" ht="15.75" x14ac:dyDescent="0.25">
      <c r="A99" s="4" t="s">
        <v>10</v>
      </c>
      <c r="B99" s="2">
        <v>168</v>
      </c>
      <c r="C99" s="5" t="s">
        <v>50</v>
      </c>
      <c r="D99" s="1" t="s">
        <v>1</v>
      </c>
      <c r="E99" s="5" t="s">
        <v>2</v>
      </c>
      <c r="F99" s="1" t="s">
        <v>3</v>
      </c>
      <c r="G99" s="5" t="s">
        <v>16</v>
      </c>
      <c r="H99" s="1" t="s">
        <v>5</v>
      </c>
      <c r="I99" s="5" t="s">
        <v>6</v>
      </c>
      <c r="J99" s="2">
        <v>94.5</v>
      </c>
      <c r="K99" s="4">
        <v>168.7</v>
      </c>
      <c r="L99" s="2">
        <v>64</v>
      </c>
      <c r="M99" s="4">
        <v>52.6</v>
      </c>
      <c r="N99" s="2">
        <v>2169</v>
      </c>
      <c r="O99" s="5" t="s">
        <v>18</v>
      </c>
      <c r="P99" s="1" t="s">
        <v>8</v>
      </c>
      <c r="Q99" s="4">
        <v>98</v>
      </c>
      <c r="R99" s="1" t="s">
        <v>28</v>
      </c>
      <c r="S99" s="4">
        <v>3.19</v>
      </c>
      <c r="T99" s="2">
        <v>3.03</v>
      </c>
      <c r="U99" s="4">
        <v>9</v>
      </c>
      <c r="V99" s="2">
        <v>70</v>
      </c>
      <c r="W99" s="4">
        <v>4800</v>
      </c>
      <c r="X99" s="2">
        <v>29</v>
      </c>
      <c r="Y99" s="4">
        <v>34</v>
      </c>
      <c r="Z99" s="2">
        <v>8058</v>
      </c>
      <c r="AC99" s="11">
        <f t="shared" si="6"/>
        <v>98</v>
      </c>
      <c r="AD99" s="11">
        <f t="shared" si="7"/>
        <v>70</v>
      </c>
      <c r="AE99" s="11">
        <f t="shared" si="8"/>
        <v>8058</v>
      </c>
      <c r="AF99" s="11">
        <f t="shared" si="9"/>
        <v>4800</v>
      </c>
      <c r="AG99" s="11">
        <f t="shared" si="10"/>
        <v>94.5</v>
      </c>
      <c r="AH99" s="11">
        <f t="shared" si="11"/>
        <v>64</v>
      </c>
      <c r="AJ99" s="40" t="s">
        <v>50</v>
      </c>
      <c r="AK99">
        <v>121</v>
      </c>
      <c r="AL99">
        <v>100</v>
      </c>
      <c r="AM99">
        <v>10345</v>
      </c>
      <c r="AN99">
        <v>5200</v>
      </c>
      <c r="AO99">
        <v>98.4</v>
      </c>
      <c r="AP99">
        <v>65.599999999999994</v>
      </c>
      <c r="AY99" s="40" t="s">
        <v>16</v>
      </c>
      <c r="AZ99" s="2">
        <v>70</v>
      </c>
    </row>
    <row r="100" spans="1:52" ht="15.75" x14ac:dyDescent="0.25">
      <c r="A100" s="4" t="s">
        <v>23</v>
      </c>
      <c r="B100" s="2">
        <v>85</v>
      </c>
      <c r="C100" s="5" t="s">
        <v>49</v>
      </c>
      <c r="D100" s="1" t="s">
        <v>1</v>
      </c>
      <c r="E100" s="5" t="s">
        <v>2</v>
      </c>
      <c r="F100" s="1" t="s">
        <v>8</v>
      </c>
      <c r="G100" s="5" t="s">
        <v>21</v>
      </c>
      <c r="H100" s="1" t="s">
        <v>19</v>
      </c>
      <c r="I100" s="5" t="s">
        <v>6</v>
      </c>
      <c r="J100" s="2">
        <v>96.9</v>
      </c>
      <c r="K100" s="4">
        <v>173.6</v>
      </c>
      <c r="L100" s="2">
        <v>65.400000000000006</v>
      </c>
      <c r="M100" s="4">
        <v>54.9</v>
      </c>
      <c r="N100" s="2">
        <v>2420</v>
      </c>
      <c r="O100" s="5" t="s">
        <v>47</v>
      </c>
      <c r="P100" s="1" t="s">
        <v>8</v>
      </c>
      <c r="Q100" s="4">
        <v>108</v>
      </c>
      <c r="R100" s="1" t="s">
        <v>28</v>
      </c>
      <c r="S100" s="4">
        <v>3.62</v>
      </c>
      <c r="T100" s="2">
        <v>2.64</v>
      </c>
      <c r="U100" s="4">
        <v>9</v>
      </c>
      <c r="V100" s="2">
        <v>82</v>
      </c>
      <c r="W100" s="4">
        <v>4800</v>
      </c>
      <c r="X100" s="2">
        <v>23</v>
      </c>
      <c r="Y100" s="4">
        <v>29</v>
      </c>
      <c r="Z100" s="2">
        <v>8013</v>
      </c>
      <c r="AC100" s="11">
        <f t="shared" si="6"/>
        <v>108</v>
      </c>
      <c r="AD100" s="11">
        <f t="shared" si="7"/>
        <v>82</v>
      </c>
      <c r="AE100" s="11">
        <f t="shared" si="8"/>
        <v>8013</v>
      </c>
      <c r="AF100" s="11">
        <f t="shared" si="9"/>
        <v>4800</v>
      </c>
      <c r="AG100" s="11">
        <f t="shared" si="10"/>
        <v>96.9</v>
      </c>
      <c r="AH100" s="11">
        <f t="shared" si="11"/>
        <v>65.400000000000006</v>
      </c>
      <c r="AJ100" s="40" t="s">
        <v>49</v>
      </c>
      <c r="AK100">
        <v>121</v>
      </c>
      <c r="AL100">
        <v>101</v>
      </c>
      <c r="AM100">
        <v>10595</v>
      </c>
      <c r="AN100">
        <v>5250</v>
      </c>
      <c r="AO100">
        <v>98.4</v>
      </c>
      <c r="AP100">
        <v>65.599999999999994</v>
      </c>
      <c r="AY100" s="40" t="s">
        <v>21</v>
      </c>
      <c r="AZ100" s="2">
        <v>82</v>
      </c>
    </row>
    <row r="101" spans="1:52" ht="15.75" x14ac:dyDescent="0.25">
      <c r="A101" s="4" t="s">
        <v>10</v>
      </c>
      <c r="B101" s="2">
        <v>103</v>
      </c>
      <c r="C101" s="5" t="s">
        <v>43</v>
      </c>
      <c r="D101" s="1" t="s">
        <v>1</v>
      </c>
      <c r="E101" s="5" t="s">
        <v>2</v>
      </c>
      <c r="F101" s="1" t="s">
        <v>8</v>
      </c>
      <c r="G101" s="5" t="s">
        <v>21</v>
      </c>
      <c r="H101" s="1" t="s">
        <v>17</v>
      </c>
      <c r="I101" s="5" t="s">
        <v>6</v>
      </c>
      <c r="J101" s="2">
        <v>94.5</v>
      </c>
      <c r="K101" s="4">
        <v>170.2</v>
      </c>
      <c r="L101" s="2">
        <v>63.8</v>
      </c>
      <c r="M101" s="4">
        <v>53.5</v>
      </c>
      <c r="N101" s="2">
        <v>2037</v>
      </c>
      <c r="O101" s="5" t="s">
        <v>18</v>
      </c>
      <c r="P101" s="1" t="s">
        <v>8</v>
      </c>
      <c r="Q101" s="4">
        <v>97</v>
      </c>
      <c r="R101" s="1" t="s">
        <v>28</v>
      </c>
      <c r="S101" s="4">
        <v>3.15</v>
      </c>
      <c r="T101" s="2">
        <v>3.29</v>
      </c>
      <c r="U101" s="4">
        <v>9.4</v>
      </c>
      <c r="V101" s="2">
        <v>69</v>
      </c>
      <c r="W101" s="4">
        <v>5200</v>
      </c>
      <c r="X101" s="2">
        <v>31</v>
      </c>
      <c r="Y101" s="4">
        <v>37</v>
      </c>
      <c r="Z101" s="2">
        <v>7999</v>
      </c>
      <c r="AC101" s="11">
        <f t="shared" si="6"/>
        <v>97</v>
      </c>
      <c r="AD101" s="11">
        <f t="shared" si="7"/>
        <v>69</v>
      </c>
      <c r="AE101" s="11">
        <f t="shared" si="8"/>
        <v>7999</v>
      </c>
      <c r="AF101" s="11">
        <f t="shared" si="9"/>
        <v>5200</v>
      </c>
      <c r="AG101" s="11">
        <f t="shared" si="10"/>
        <v>94.5</v>
      </c>
      <c r="AH101" s="11">
        <f t="shared" si="11"/>
        <v>63.8</v>
      </c>
      <c r="AJ101" s="40" t="s">
        <v>43</v>
      </c>
      <c r="AK101">
        <v>121</v>
      </c>
      <c r="AL101">
        <v>101</v>
      </c>
      <c r="AM101">
        <v>10698</v>
      </c>
      <c r="AN101">
        <v>5250</v>
      </c>
      <c r="AO101">
        <v>98.4</v>
      </c>
      <c r="AP101">
        <v>65.599999999999994</v>
      </c>
      <c r="AY101" s="40" t="s">
        <v>21</v>
      </c>
      <c r="AZ101" s="2">
        <v>69</v>
      </c>
    </row>
    <row r="102" spans="1:52" ht="15.75" x14ac:dyDescent="0.25">
      <c r="A102" s="4" t="s">
        <v>14</v>
      </c>
      <c r="B102" s="2">
        <v>94</v>
      </c>
      <c r="C102" s="5" t="s">
        <v>51</v>
      </c>
      <c r="D102" s="1" t="s">
        <v>36</v>
      </c>
      <c r="E102" s="5" t="s">
        <v>2</v>
      </c>
      <c r="F102" s="1" t="s">
        <v>8</v>
      </c>
      <c r="G102" s="5" t="s">
        <v>16</v>
      </c>
      <c r="H102" s="1" t="s">
        <v>17</v>
      </c>
      <c r="I102" s="5" t="s">
        <v>6</v>
      </c>
      <c r="J102" s="2">
        <v>97.3</v>
      </c>
      <c r="K102" s="4">
        <v>171.7</v>
      </c>
      <c r="L102" s="2">
        <v>65.5</v>
      </c>
      <c r="M102" s="4">
        <v>55.7</v>
      </c>
      <c r="N102" s="2">
        <v>2264</v>
      </c>
      <c r="O102" s="5" t="s">
        <v>18</v>
      </c>
      <c r="P102" s="1" t="s">
        <v>8</v>
      </c>
      <c r="Q102" s="4">
        <v>97</v>
      </c>
      <c r="R102" s="1" t="s">
        <v>37</v>
      </c>
      <c r="S102" s="4">
        <v>3.01</v>
      </c>
      <c r="T102" s="2">
        <v>3.4</v>
      </c>
      <c r="U102" s="4">
        <v>23</v>
      </c>
      <c r="V102" s="2">
        <v>52</v>
      </c>
      <c r="W102" s="4">
        <v>4800</v>
      </c>
      <c r="X102" s="2">
        <v>37</v>
      </c>
      <c r="Y102" s="4">
        <v>46</v>
      </c>
      <c r="Z102" s="2">
        <v>7995</v>
      </c>
      <c r="AC102" s="11">
        <f t="shared" si="6"/>
        <v>97</v>
      </c>
      <c r="AD102" s="11">
        <f t="shared" si="7"/>
        <v>52</v>
      </c>
      <c r="AE102" s="11">
        <f t="shared" si="8"/>
        <v>7995</v>
      </c>
      <c r="AF102" s="11">
        <f t="shared" si="9"/>
        <v>4800</v>
      </c>
      <c r="AG102" s="11">
        <f t="shared" si="10"/>
        <v>97.3</v>
      </c>
      <c r="AH102" s="11">
        <f t="shared" si="11"/>
        <v>65.5</v>
      </c>
      <c r="AJ102" s="40" t="s">
        <v>51</v>
      </c>
      <c r="AK102">
        <v>121</v>
      </c>
      <c r="AL102">
        <v>101</v>
      </c>
      <c r="AM102">
        <v>10898</v>
      </c>
      <c r="AN102">
        <v>5250</v>
      </c>
      <c r="AO102">
        <v>98.4</v>
      </c>
      <c r="AP102">
        <v>65.599999999999994</v>
      </c>
      <c r="AY102" s="40" t="s">
        <v>16</v>
      </c>
      <c r="AZ102" s="2">
        <v>52</v>
      </c>
    </row>
    <row r="103" spans="1:52" ht="15.75" x14ac:dyDescent="0.25">
      <c r="A103" s="4" t="s">
        <v>14</v>
      </c>
      <c r="B103" s="2">
        <v>122</v>
      </c>
      <c r="C103" s="5" t="s">
        <v>51</v>
      </c>
      <c r="D103" s="1" t="s">
        <v>1</v>
      </c>
      <c r="E103" s="5" t="s">
        <v>2</v>
      </c>
      <c r="F103" s="1" t="s">
        <v>3</v>
      </c>
      <c r="G103" s="5" t="s">
        <v>16</v>
      </c>
      <c r="H103" s="1" t="s">
        <v>17</v>
      </c>
      <c r="I103" s="5" t="s">
        <v>6</v>
      </c>
      <c r="J103" s="2">
        <v>97.3</v>
      </c>
      <c r="K103" s="4">
        <v>171.7</v>
      </c>
      <c r="L103" s="2">
        <v>65.5</v>
      </c>
      <c r="M103" s="4">
        <v>55.7</v>
      </c>
      <c r="N103" s="2">
        <v>2209</v>
      </c>
      <c r="O103" s="5" t="s">
        <v>18</v>
      </c>
      <c r="P103" s="1" t="s">
        <v>8</v>
      </c>
      <c r="Q103" s="4">
        <v>109</v>
      </c>
      <c r="R103" s="1" t="s">
        <v>9</v>
      </c>
      <c r="S103" s="4">
        <v>3.19</v>
      </c>
      <c r="T103" s="2">
        <v>3.4</v>
      </c>
      <c r="U103" s="4">
        <v>9</v>
      </c>
      <c r="V103" s="2">
        <v>85</v>
      </c>
      <c r="W103" s="4">
        <v>5250</v>
      </c>
      <c r="X103" s="2">
        <v>27</v>
      </c>
      <c r="Y103" s="4">
        <v>34</v>
      </c>
      <c r="Z103" s="2">
        <v>7975</v>
      </c>
      <c r="AC103" s="11">
        <f t="shared" si="6"/>
        <v>109</v>
      </c>
      <c r="AD103" s="11">
        <f t="shared" si="7"/>
        <v>85</v>
      </c>
      <c r="AE103" s="11">
        <f t="shared" si="8"/>
        <v>7975</v>
      </c>
      <c r="AF103" s="11">
        <f t="shared" si="9"/>
        <v>5250</v>
      </c>
      <c r="AG103" s="11">
        <f t="shared" si="10"/>
        <v>97.3</v>
      </c>
      <c r="AH103" s="11">
        <f t="shared" si="11"/>
        <v>65.5</v>
      </c>
      <c r="AJ103" s="40" t="s">
        <v>51</v>
      </c>
      <c r="AK103">
        <v>122</v>
      </c>
      <c r="AL103">
        <v>102</v>
      </c>
      <c r="AM103">
        <v>11199</v>
      </c>
      <c r="AN103">
        <v>5250</v>
      </c>
      <c r="AO103">
        <v>98.4</v>
      </c>
      <c r="AP103">
        <v>65.599999999999994</v>
      </c>
      <c r="AY103" s="40" t="s">
        <v>16</v>
      </c>
      <c r="AZ103" s="2">
        <v>85</v>
      </c>
    </row>
    <row r="104" spans="1:52" ht="15.75" x14ac:dyDescent="0.25">
      <c r="A104" s="4" t="s">
        <v>10</v>
      </c>
      <c r="B104" s="2">
        <v>118</v>
      </c>
      <c r="C104" s="5" t="s">
        <v>29</v>
      </c>
      <c r="D104" s="1" t="s">
        <v>1</v>
      </c>
      <c r="E104" s="5" t="s">
        <v>22</v>
      </c>
      <c r="F104" s="1" t="s">
        <v>3</v>
      </c>
      <c r="G104" s="5" t="s">
        <v>11</v>
      </c>
      <c r="H104" s="1" t="s">
        <v>17</v>
      </c>
      <c r="I104" s="5" t="s">
        <v>6</v>
      </c>
      <c r="J104" s="2">
        <v>93.7</v>
      </c>
      <c r="K104" s="4">
        <v>157.30000000000001</v>
      </c>
      <c r="L104" s="2">
        <v>63.8</v>
      </c>
      <c r="M104" s="4">
        <v>50.8</v>
      </c>
      <c r="N104" s="2">
        <v>2128</v>
      </c>
      <c r="O104" s="5" t="s">
        <v>18</v>
      </c>
      <c r="P104" s="1" t="s">
        <v>8</v>
      </c>
      <c r="Q104" s="4">
        <v>98</v>
      </c>
      <c r="R104" s="1" t="s">
        <v>9</v>
      </c>
      <c r="S104" s="4">
        <v>3.03</v>
      </c>
      <c r="T104" s="2">
        <v>3.39</v>
      </c>
      <c r="U104" s="4">
        <v>7.6</v>
      </c>
      <c r="V104" s="2">
        <v>102</v>
      </c>
      <c r="W104" s="4">
        <v>5500</v>
      </c>
      <c r="X104" s="2">
        <v>24</v>
      </c>
      <c r="Y104" s="4">
        <v>30</v>
      </c>
      <c r="Z104" s="2">
        <v>7957</v>
      </c>
      <c r="AC104" s="11">
        <f t="shared" si="6"/>
        <v>98</v>
      </c>
      <c r="AD104" s="11">
        <f t="shared" si="7"/>
        <v>102</v>
      </c>
      <c r="AE104" s="11">
        <f t="shared" si="8"/>
        <v>7957</v>
      </c>
      <c r="AF104" s="11">
        <f t="shared" si="9"/>
        <v>5500</v>
      </c>
      <c r="AG104" s="11">
        <f t="shared" si="10"/>
        <v>93.7</v>
      </c>
      <c r="AH104" s="11">
        <f t="shared" si="11"/>
        <v>63.8</v>
      </c>
      <c r="AJ104" s="40" t="s">
        <v>29</v>
      </c>
      <c r="AK104">
        <v>122</v>
      </c>
      <c r="AL104">
        <v>102</v>
      </c>
      <c r="AM104">
        <v>11245</v>
      </c>
      <c r="AN104">
        <v>5250</v>
      </c>
      <c r="AO104">
        <v>98.8</v>
      </c>
      <c r="AP104">
        <v>66</v>
      </c>
      <c r="AY104" s="40" t="s">
        <v>11</v>
      </c>
      <c r="AZ104" s="2">
        <v>102</v>
      </c>
    </row>
    <row r="105" spans="1:52" ht="15.75" x14ac:dyDescent="0.25">
      <c r="A105" s="4" t="s">
        <v>10</v>
      </c>
      <c r="B105" s="2">
        <v>119</v>
      </c>
      <c r="C105" s="5" t="s">
        <v>45</v>
      </c>
      <c r="D105" s="1" t="s">
        <v>1</v>
      </c>
      <c r="E105" s="5" t="s">
        <v>22</v>
      </c>
      <c r="F105" s="1" t="s">
        <v>3</v>
      </c>
      <c r="G105" s="5" t="s">
        <v>11</v>
      </c>
      <c r="H105" s="1" t="s">
        <v>17</v>
      </c>
      <c r="I105" s="5" t="s">
        <v>6</v>
      </c>
      <c r="J105" s="2">
        <v>93.7</v>
      </c>
      <c r="K105" s="4">
        <v>157.30000000000001</v>
      </c>
      <c r="L105" s="2">
        <v>63.8</v>
      </c>
      <c r="M105" s="4">
        <v>50.8</v>
      </c>
      <c r="N105" s="2">
        <v>2128</v>
      </c>
      <c r="O105" s="5" t="s">
        <v>18</v>
      </c>
      <c r="P105" s="1" t="s">
        <v>8</v>
      </c>
      <c r="Q105" s="4">
        <v>98</v>
      </c>
      <c r="R105" s="1" t="s">
        <v>42</v>
      </c>
      <c r="S105" s="4">
        <v>3.03</v>
      </c>
      <c r="T105" s="2">
        <v>3.39</v>
      </c>
      <c r="U105" s="4">
        <v>7.6</v>
      </c>
      <c r="V105" s="2">
        <v>102</v>
      </c>
      <c r="W105" s="4">
        <v>5500</v>
      </c>
      <c r="X105" s="2">
        <v>24</v>
      </c>
      <c r="Y105" s="4">
        <v>30</v>
      </c>
      <c r="Z105" s="2">
        <v>7957</v>
      </c>
      <c r="AC105" s="11">
        <f t="shared" si="6"/>
        <v>98</v>
      </c>
      <c r="AD105" s="11">
        <f t="shared" si="7"/>
        <v>102</v>
      </c>
      <c r="AE105" s="11">
        <f t="shared" si="8"/>
        <v>7957</v>
      </c>
      <c r="AF105" s="11">
        <f t="shared" si="9"/>
        <v>5500</v>
      </c>
      <c r="AG105" s="11">
        <f t="shared" si="10"/>
        <v>93.7</v>
      </c>
      <c r="AH105" s="11">
        <f t="shared" si="11"/>
        <v>63.8</v>
      </c>
      <c r="AJ105" s="40" t="s">
        <v>45</v>
      </c>
      <c r="AK105">
        <v>122</v>
      </c>
      <c r="AL105">
        <v>102</v>
      </c>
      <c r="AM105">
        <v>11248</v>
      </c>
      <c r="AN105">
        <v>5250</v>
      </c>
      <c r="AO105">
        <v>98.8</v>
      </c>
      <c r="AP105">
        <v>66.099999999999994</v>
      </c>
      <c r="AY105" s="40" t="s">
        <v>11</v>
      </c>
      <c r="AZ105" s="2">
        <v>102</v>
      </c>
    </row>
    <row r="106" spans="1:52" ht="15.75" x14ac:dyDescent="0.25">
      <c r="A106" s="4" t="s">
        <v>23</v>
      </c>
      <c r="B106" s="2">
        <v>81</v>
      </c>
      <c r="C106" s="5" t="s">
        <v>50</v>
      </c>
      <c r="D106" s="1" t="s">
        <v>1</v>
      </c>
      <c r="E106" s="5" t="s">
        <v>2</v>
      </c>
      <c r="F106" s="1" t="s">
        <v>8</v>
      </c>
      <c r="G106" s="5" t="s">
        <v>21</v>
      </c>
      <c r="H106" s="1" t="s">
        <v>19</v>
      </c>
      <c r="I106" s="5" t="s">
        <v>6</v>
      </c>
      <c r="J106" s="2">
        <v>95.7</v>
      </c>
      <c r="K106" s="4">
        <v>169.7</v>
      </c>
      <c r="L106" s="2">
        <v>63.6</v>
      </c>
      <c r="M106" s="4">
        <v>59.1</v>
      </c>
      <c r="N106" s="2">
        <v>2290</v>
      </c>
      <c r="O106" s="5" t="s">
        <v>18</v>
      </c>
      <c r="P106" s="1" t="s">
        <v>8</v>
      </c>
      <c r="Q106" s="4">
        <v>92</v>
      </c>
      <c r="R106" s="1" t="s">
        <v>28</v>
      </c>
      <c r="S106" s="4">
        <v>3.05</v>
      </c>
      <c r="T106" s="2">
        <v>3.03</v>
      </c>
      <c r="U106" s="4">
        <v>9</v>
      </c>
      <c r="V106" s="2">
        <v>62</v>
      </c>
      <c r="W106" s="4">
        <v>4800</v>
      </c>
      <c r="X106" s="2">
        <v>27</v>
      </c>
      <c r="Y106" s="4">
        <v>32</v>
      </c>
      <c r="Z106" s="2">
        <v>7898</v>
      </c>
      <c r="AC106" s="11">
        <f t="shared" si="6"/>
        <v>92</v>
      </c>
      <c r="AD106" s="11">
        <f t="shared" si="7"/>
        <v>62</v>
      </c>
      <c r="AE106" s="11">
        <f t="shared" si="8"/>
        <v>7898</v>
      </c>
      <c r="AF106" s="11">
        <f t="shared" si="9"/>
        <v>4800</v>
      </c>
      <c r="AG106" s="11">
        <f t="shared" si="10"/>
        <v>95.7</v>
      </c>
      <c r="AH106" s="11">
        <f t="shared" si="11"/>
        <v>63.6</v>
      </c>
      <c r="AJ106" s="40" t="s">
        <v>50</v>
      </c>
      <c r="AK106">
        <v>122</v>
      </c>
      <c r="AL106">
        <v>102</v>
      </c>
      <c r="AM106">
        <v>11259</v>
      </c>
      <c r="AN106">
        <v>5250</v>
      </c>
      <c r="AO106">
        <v>98.8</v>
      </c>
      <c r="AP106">
        <v>66.2</v>
      </c>
      <c r="AY106" s="40" t="s">
        <v>21</v>
      </c>
      <c r="AZ106" s="2">
        <v>62</v>
      </c>
    </row>
    <row r="107" spans="1:52" ht="15.75" x14ac:dyDescent="0.25">
      <c r="A107" s="4" t="s">
        <v>23</v>
      </c>
      <c r="B107" s="2">
        <v>91</v>
      </c>
      <c r="C107" s="5" t="s">
        <v>50</v>
      </c>
      <c r="D107" s="1" t="s">
        <v>36</v>
      </c>
      <c r="E107" s="5" t="s">
        <v>2</v>
      </c>
      <c r="F107" s="1" t="s">
        <v>8</v>
      </c>
      <c r="G107" s="5" t="s">
        <v>16</v>
      </c>
      <c r="H107" s="1" t="s">
        <v>17</v>
      </c>
      <c r="I107" s="5" t="s">
        <v>6</v>
      </c>
      <c r="J107" s="2">
        <v>95.7</v>
      </c>
      <c r="K107" s="4">
        <v>166.3</v>
      </c>
      <c r="L107" s="2">
        <v>64.400000000000006</v>
      </c>
      <c r="M107" s="4">
        <v>53</v>
      </c>
      <c r="N107" s="2">
        <v>2275</v>
      </c>
      <c r="O107" s="5" t="s">
        <v>18</v>
      </c>
      <c r="P107" s="1" t="s">
        <v>8</v>
      </c>
      <c r="Q107" s="4">
        <v>110</v>
      </c>
      <c r="R107" s="1" t="s">
        <v>37</v>
      </c>
      <c r="S107" s="4">
        <v>3.27</v>
      </c>
      <c r="T107" s="2">
        <v>3.35</v>
      </c>
      <c r="U107" s="4">
        <v>22.5</v>
      </c>
      <c r="V107" s="2">
        <v>56</v>
      </c>
      <c r="W107" s="4">
        <v>4500</v>
      </c>
      <c r="X107" s="2">
        <v>34</v>
      </c>
      <c r="Y107" s="4">
        <v>36</v>
      </c>
      <c r="Z107" s="2">
        <v>7898</v>
      </c>
      <c r="AC107" s="11">
        <f t="shared" si="6"/>
        <v>110</v>
      </c>
      <c r="AD107" s="11">
        <f t="shared" si="7"/>
        <v>56</v>
      </c>
      <c r="AE107" s="11">
        <f t="shared" si="8"/>
        <v>7898</v>
      </c>
      <c r="AF107" s="11">
        <f t="shared" si="9"/>
        <v>4500</v>
      </c>
      <c r="AG107" s="11">
        <f t="shared" si="10"/>
        <v>95.7</v>
      </c>
      <c r="AH107" s="11">
        <f t="shared" si="11"/>
        <v>64.400000000000006</v>
      </c>
      <c r="AJ107" s="40" t="s">
        <v>50</v>
      </c>
      <c r="AK107">
        <v>122</v>
      </c>
      <c r="AL107">
        <v>106</v>
      </c>
      <c r="AM107">
        <v>11549</v>
      </c>
      <c r="AN107">
        <v>5300</v>
      </c>
      <c r="AO107">
        <v>98.8</v>
      </c>
      <c r="AP107">
        <v>66.3</v>
      </c>
      <c r="AY107" s="40" t="s">
        <v>16</v>
      </c>
      <c r="AZ107" s="2">
        <v>56</v>
      </c>
    </row>
    <row r="108" spans="1:52" ht="15.75" x14ac:dyDescent="0.25">
      <c r="A108" s="4" t="s">
        <v>23</v>
      </c>
      <c r="B108" s="2">
        <v>106</v>
      </c>
      <c r="C108" s="5" t="s">
        <v>32</v>
      </c>
      <c r="D108" s="1" t="s">
        <v>1</v>
      </c>
      <c r="E108" s="5" t="s">
        <v>2</v>
      </c>
      <c r="F108" s="1" t="s">
        <v>3</v>
      </c>
      <c r="G108" s="5" t="s">
        <v>11</v>
      </c>
      <c r="H108" s="1" t="s">
        <v>17</v>
      </c>
      <c r="I108" s="5" t="s">
        <v>6</v>
      </c>
      <c r="J108" s="2">
        <v>96.5</v>
      </c>
      <c r="K108" s="4">
        <v>167.5</v>
      </c>
      <c r="L108" s="2">
        <v>65.2</v>
      </c>
      <c r="M108" s="4">
        <v>53.3</v>
      </c>
      <c r="N108" s="2">
        <v>2236</v>
      </c>
      <c r="O108" s="5" t="s">
        <v>18</v>
      </c>
      <c r="P108" s="1" t="s">
        <v>8</v>
      </c>
      <c r="Q108" s="4">
        <v>110</v>
      </c>
      <c r="R108" s="1" t="s">
        <v>33</v>
      </c>
      <c r="S108" s="4">
        <v>3.15</v>
      </c>
      <c r="T108" s="2">
        <v>3.58</v>
      </c>
      <c r="U108" s="4">
        <v>9</v>
      </c>
      <c r="V108" s="2">
        <v>86</v>
      </c>
      <c r="W108" s="4">
        <v>5800</v>
      </c>
      <c r="X108" s="2">
        <v>27</v>
      </c>
      <c r="Y108" s="4">
        <v>33</v>
      </c>
      <c r="Z108" s="2">
        <v>7895</v>
      </c>
      <c r="AC108" s="11">
        <f t="shared" si="6"/>
        <v>110</v>
      </c>
      <c r="AD108" s="11">
        <f t="shared" si="7"/>
        <v>86</v>
      </c>
      <c r="AE108" s="11">
        <f t="shared" si="8"/>
        <v>7895</v>
      </c>
      <c r="AF108" s="11">
        <f t="shared" si="9"/>
        <v>5800</v>
      </c>
      <c r="AG108" s="11">
        <f t="shared" si="10"/>
        <v>96.5</v>
      </c>
      <c r="AH108" s="11">
        <f t="shared" si="11"/>
        <v>65.2</v>
      </c>
      <c r="AJ108" s="40" t="s">
        <v>32</v>
      </c>
      <c r="AK108">
        <v>122</v>
      </c>
      <c r="AL108">
        <v>110</v>
      </c>
      <c r="AM108">
        <v>11694</v>
      </c>
      <c r="AN108">
        <v>5400</v>
      </c>
      <c r="AO108">
        <v>98.8</v>
      </c>
      <c r="AP108">
        <v>66.400000000000006</v>
      </c>
      <c r="AY108" s="40" t="s">
        <v>11</v>
      </c>
      <c r="AZ108" s="2">
        <v>86</v>
      </c>
    </row>
    <row r="109" spans="1:52" ht="15.75" x14ac:dyDescent="0.25">
      <c r="A109" s="4" t="s">
        <v>10</v>
      </c>
      <c r="B109" s="2">
        <v>128</v>
      </c>
      <c r="C109" s="5" t="s">
        <v>43</v>
      </c>
      <c r="D109" s="1" t="s">
        <v>1</v>
      </c>
      <c r="E109" s="5" t="s">
        <v>2</v>
      </c>
      <c r="F109" s="1" t="s">
        <v>3</v>
      </c>
      <c r="G109" s="5" t="s">
        <v>11</v>
      </c>
      <c r="H109" s="1" t="s">
        <v>17</v>
      </c>
      <c r="I109" s="5" t="s">
        <v>6</v>
      </c>
      <c r="J109" s="2">
        <v>94.5</v>
      </c>
      <c r="K109" s="4">
        <v>165.6</v>
      </c>
      <c r="L109" s="2">
        <v>63.8</v>
      </c>
      <c r="M109" s="4">
        <v>53.3</v>
      </c>
      <c r="N109" s="2">
        <v>2028</v>
      </c>
      <c r="O109" s="5" t="s">
        <v>18</v>
      </c>
      <c r="P109" s="1" t="s">
        <v>8</v>
      </c>
      <c r="Q109" s="4">
        <v>97</v>
      </c>
      <c r="R109" s="1" t="s">
        <v>28</v>
      </c>
      <c r="S109" s="4">
        <v>3.15</v>
      </c>
      <c r="T109" s="2">
        <v>3.29</v>
      </c>
      <c r="U109" s="4">
        <v>9.4</v>
      </c>
      <c r="V109" s="2">
        <v>69</v>
      </c>
      <c r="W109" s="4">
        <v>5200</v>
      </c>
      <c r="X109" s="2">
        <v>31</v>
      </c>
      <c r="Y109" s="4">
        <v>37</v>
      </c>
      <c r="Z109" s="2">
        <v>7799</v>
      </c>
      <c r="AC109" s="11">
        <f t="shared" si="6"/>
        <v>97</v>
      </c>
      <c r="AD109" s="11">
        <f t="shared" si="7"/>
        <v>69</v>
      </c>
      <c r="AE109" s="11">
        <f t="shared" si="8"/>
        <v>7799</v>
      </c>
      <c r="AF109" s="11">
        <f t="shared" si="9"/>
        <v>5200</v>
      </c>
      <c r="AG109" s="11">
        <f t="shared" si="10"/>
        <v>94.5</v>
      </c>
      <c r="AH109" s="11">
        <f t="shared" si="11"/>
        <v>63.8</v>
      </c>
      <c r="AJ109" s="40" t="s">
        <v>43</v>
      </c>
      <c r="AK109">
        <v>122</v>
      </c>
      <c r="AL109">
        <v>110</v>
      </c>
      <c r="AM109">
        <v>11850</v>
      </c>
      <c r="AN109">
        <v>5400</v>
      </c>
      <c r="AO109">
        <v>99.1</v>
      </c>
      <c r="AP109">
        <v>66.5</v>
      </c>
      <c r="AY109" s="40" t="s">
        <v>11</v>
      </c>
      <c r="AZ109" s="2">
        <v>69</v>
      </c>
    </row>
    <row r="110" spans="1:52" ht="15.75" x14ac:dyDescent="0.25">
      <c r="A110" s="4" t="s">
        <v>23</v>
      </c>
      <c r="B110" s="2">
        <v>91</v>
      </c>
      <c r="C110" s="5" t="s">
        <v>50</v>
      </c>
      <c r="D110" s="1" t="s">
        <v>36</v>
      </c>
      <c r="E110" s="5" t="s">
        <v>2</v>
      </c>
      <c r="F110" s="1" t="s">
        <v>8</v>
      </c>
      <c r="G110" s="5" t="s">
        <v>11</v>
      </c>
      <c r="H110" s="1" t="s">
        <v>17</v>
      </c>
      <c r="I110" s="5" t="s">
        <v>6</v>
      </c>
      <c r="J110" s="2">
        <v>95.7</v>
      </c>
      <c r="K110" s="4">
        <v>166.3</v>
      </c>
      <c r="L110" s="2">
        <v>64.400000000000006</v>
      </c>
      <c r="M110" s="4">
        <v>52.8</v>
      </c>
      <c r="N110" s="2">
        <v>2275</v>
      </c>
      <c r="O110" s="5" t="s">
        <v>18</v>
      </c>
      <c r="P110" s="1" t="s">
        <v>8</v>
      </c>
      <c r="Q110" s="4">
        <v>110</v>
      </c>
      <c r="R110" s="1" t="s">
        <v>37</v>
      </c>
      <c r="S110" s="4">
        <v>3.27</v>
      </c>
      <c r="T110" s="2">
        <v>3.35</v>
      </c>
      <c r="U110" s="4">
        <v>22.5</v>
      </c>
      <c r="V110" s="2">
        <v>56</v>
      </c>
      <c r="W110" s="4">
        <v>4500</v>
      </c>
      <c r="X110" s="2">
        <v>38</v>
      </c>
      <c r="Y110" s="4">
        <v>47</v>
      </c>
      <c r="Z110" s="2">
        <v>7788</v>
      </c>
      <c r="AC110" s="11">
        <f t="shared" si="6"/>
        <v>110</v>
      </c>
      <c r="AD110" s="11">
        <f t="shared" si="7"/>
        <v>56</v>
      </c>
      <c r="AE110" s="11">
        <f t="shared" si="8"/>
        <v>7788</v>
      </c>
      <c r="AF110" s="11">
        <f t="shared" si="9"/>
        <v>4500</v>
      </c>
      <c r="AG110" s="11">
        <f t="shared" si="10"/>
        <v>95.7</v>
      </c>
      <c r="AH110" s="11">
        <f t="shared" si="11"/>
        <v>64.400000000000006</v>
      </c>
      <c r="AJ110" s="40" t="s">
        <v>50</v>
      </c>
      <c r="AK110">
        <v>122</v>
      </c>
      <c r="AL110">
        <v>110</v>
      </c>
      <c r="AM110">
        <v>11900</v>
      </c>
      <c r="AN110">
        <v>5400</v>
      </c>
      <c r="AO110">
        <v>99.1</v>
      </c>
      <c r="AP110">
        <v>66.5</v>
      </c>
      <c r="AY110" s="40" t="s">
        <v>11</v>
      </c>
      <c r="AZ110" s="2">
        <v>56</v>
      </c>
    </row>
    <row r="111" spans="1:52" ht="15.75" x14ac:dyDescent="0.25">
      <c r="A111" s="4" t="s">
        <v>23</v>
      </c>
      <c r="B111" s="2">
        <v>102</v>
      </c>
      <c r="C111" s="5" t="s">
        <v>49</v>
      </c>
      <c r="D111" s="1" t="s">
        <v>1</v>
      </c>
      <c r="E111" s="5" t="s">
        <v>2</v>
      </c>
      <c r="F111" s="1" t="s">
        <v>8</v>
      </c>
      <c r="G111" s="5" t="s">
        <v>16</v>
      </c>
      <c r="H111" s="1" t="s">
        <v>17</v>
      </c>
      <c r="I111" s="5" t="s">
        <v>6</v>
      </c>
      <c r="J111" s="2">
        <v>97.2</v>
      </c>
      <c r="K111" s="4">
        <v>172</v>
      </c>
      <c r="L111" s="2">
        <v>65.400000000000006</v>
      </c>
      <c r="M111" s="4">
        <v>52.5</v>
      </c>
      <c r="N111" s="2">
        <v>2190</v>
      </c>
      <c r="O111" s="5" t="s">
        <v>47</v>
      </c>
      <c r="P111" s="1" t="s">
        <v>8</v>
      </c>
      <c r="Q111" s="4">
        <v>108</v>
      </c>
      <c r="R111" s="1" t="s">
        <v>28</v>
      </c>
      <c r="S111" s="4">
        <v>3.62</v>
      </c>
      <c r="T111" s="2">
        <v>2.64</v>
      </c>
      <c r="U111" s="4">
        <v>9.5</v>
      </c>
      <c r="V111" s="2">
        <v>82</v>
      </c>
      <c r="W111" s="4">
        <v>4400</v>
      </c>
      <c r="X111" s="2">
        <v>28</v>
      </c>
      <c r="Y111" s="4">
        <v>33</v>
      </c>
      <c r="Z111" s="2">
        <v>7775</v>
      </c>
      <c r="AC111" s="11">
        <f t="shared" si="6"/>
        <v>108</v>
      </c>
      <c r="AD111" s="11">
        <f t="shared" si="7"/>
        <v>82</v>
      </c>
      <c r="AE111" s="11">
        <f t="shared" si="8"/>
        <v>7775</v>
      </c>
      <c r="AF111" s="11">
        <f t="shared" si="9"/>
        <v>4400</v>
      </c>
      <c r="AG111" s="11">
        <f t="shared" si="10"/>
        <v>97.2</v>
      </c>
      <c r="AH111" s="11">
        <f t="shared" si="11"/>
        <v>65.400000000000006</v>
      </c>
      <c r="AJ111" s="40" t="s">
        <v>49</v>
      </c>
      <c r="AK111">
        <v>122</v>
      </c>
      <c r="AL111">
        <v>110</v>
      </c>
      <c r="AM111">
        <v>12170</v>
      </c>
      <c r="AN111">
        <v>5400</v>
      </c>
      <c r="AO111">
        <v>99.1</v>
      </c>
      <c r="AP111">
        <v>66.5</v>
      </c>
      <c r="AY111" s="40" t="s">
        <v>16</v>
      </c>
      <c r="AZ111" s="2">
        <v>82</v>
      </c>
    </row>
    <row r="112" spans="1:52" ht="15.75" x14ac:dyDescent="0.25">
      <c r="A112" s="4" t="s">
        <v>14</v>
      </c>
      <c r="B112" s="2">
        <v>122</v>
      </c>
      <c r="C112" s="5" t="s">
        <v>51</v>
      </c>
      <c r="D112" s="1" t="s">
        <v>36</v>
      </c>
      <c r="E112" s="5" t="s">
        <v>2</v>
      </c>
      <c r="F112" s="1" t="s">
        <v>3</v>
      </c>
      <c r="G112" s="5" t="s">
        <v>16</v>
      </c>
      <c r="H112" s="1" t="s">
        <v>17</v>
      </c>
      <c r="I112" s="5" t="s">
        <v>6</v>
      </c>
      <c r="J112" s="2">
        <v>97.3</v>
      </c>
      <c r="K112" s="4">
        <v>171.7</v>
      </c>
      <c r="L112" s="2">
        <v>65.5</v>
      </c>
      <c r="M112" s="4">
        <v>55.7</v>
      </c>
      <c r="N112" s="2">
        <v>2261</v>
      </c>
      <c r="O112" s="5" t="s">
        <v>18</v>
      </c>
      <c r="P112" s="1" t="s">
        <v>8</v>
      </c>
      <c r="Q112" s="4">
        <v>97</v>
      </c>
      <c r="R112" s="1" t="s">
        <v>37</v>
      </c>
      <c r="S112" s="4">
        <v>3.01</v>
      </c>
      <c r="T112" s="2">
        <v>3.4</v>
      </c>
      <c r="U112" s="4">
        <v>23</v>
      </c>
      <c r="V112" s="2">
        <v>52</v>
      </c>
      <c r="W112" s="4">
        <v>4800</v>
      </c>
      <c r="X112" s="2">
        <v>37</v>
      </c>
      <c r="Y112" s="4">
        <v>46</v>
      </c>
      <c r="Z112" s="2">
        <v>7775</v>
      </c>
      <c r="AC112" s="11">
        <f t="shared" si="6"/>
        <v>97</v>
      </c>
      <c r="AD112" s="11">
        <f t="shared" si="7"/>
        <v>52</v>
      </c>
      <c r="AE112" s="11">
        <f t="shared" si="8"/>
        <v>7775</v>
      </c>
      <c r="AF112" s="11">
        <f t="shared" si="9"/>
        <v>4800</v>
      </c>
      <c r="AG112" s="11">
        <f t="shared" si="10"/>
        <v>97.3</v>
      </c>
      <c r="AH112" s="11">
        <f t="shared" si="11"/>
        <v>65.5</v>
      </c>
      <c r="AJ112" s="40" t="s">
        <v>51</v>
      </c>
      <c r="AK112">
        <v>122</v>
      </c>
      <c r="AL112">
        <v>110</v>
      </c>
      <c r="AM112">
        <v>12940</v>
      </c>
      <c r="AN112">
        <v>5400</v>
      </c>
      <c r="AO112">
        <v>99.1</v>
      </c>
      <c r="AP112">
        <v>66.5</v>
      </c>
      <c r="AY112" s="40" t="s">
        <v>16</v>
      </c>
      <c r="AZ112" s="2">
        <v>52</v>
      </c>
    </row>
    <row r="113" spans="1:52" ht="15.75" x14ac:dyDescent="0.25">
      <c r="A113" s="4" t="s">
        <v>23</v>
      </c>
      <c r="B113" s="2">
        <v>91</v>
      </c>
      <c r="C113" s="5" t="s">
        <v>50</v>
      </c>
      <c r="D113" s="1" t="s">
        <v>1</v>
      </c>
      <c r="E113" s="5" t="s">
        <v>2</v>
      </c>
      <c r="F113" s="1" t="s">
        <v>8</v>
      </c>
      <c r="G113" s="5" t="s">
        <v>16</v>
      </c>
      <c r="H113" s="1" t="s">
        <v>17</v>
      </c>
      <c r="I113" s="5" t="s">
        <v>6</v>
      </c>
      <c r="J113" s="2">
        <v>95.7</v>
      </c>
      <c r="K113" s="4">
        <v>166.3</v>
      </c>
      <c r="L113" s="2">
        <v>64.400000000000006</v>
      </c>
      <c r="M113" s="4">
        <v>53</v>
      </c>
      <c r="N113" s="2">
        <v>2094</v>
      </c>
      <c r="O113" s="5" t="s">
        <v>18</v>
      </c>
      <c r="P113" s="1" t="s">
        <v>8</v>
      </c>
      <c r="Q113" s="4">
        <v>98</v>
      </c>
      <c r="R113" s="1" t="s">
        <v>28</v>
      </c>
      <c r="S113" s="4">
        <v>3.19</v>
      </c>
      <c r="T113" s="2">
        <v>3.03</v>
      </c>
      <c r="U113" s="4">
        <v>9</v>
      </c>
      <c r="V113" s="2">
        <v>70</v>
      </c>
      <c r="W113" s="4">
        <v>4800</v>
      </c>
      <c r="X113" s="2">
        <v>38</v>
      </c>
      <c r="Y113" s="4">
        <v>47</v>
      </c>
      <c r="Z113" s="2">
        <v>7738</v>
      </c>
      <c r="AC113" s="11">
        <f t="shared" si="6"/>
        <v>98</v>
      </c>
      <c r="AD113" s="11">
        <f t="shared" si="7"/>
        <v>70</v>
      </c>
      <c r="AE113" s="11">
        <f t="shared" si="8"/>
        <v>7738</v>
      </c>
      <c r="AF113" s="11">
        <f t="shared" si="9"/>
        <v>4800</v>
      </c>
      <c r="AG113" s="11">
        <f t="shared" si="10"/>
        <v>95.7</v>
      </c>
      <c r="AH113" s="11">
        <f t="shared" si="11"/>
        <v>64.400000000000006</v>
      </c>
      <c r="AJ113" s="40" t="s">
        <v>50</v>
      </c>
      <c r="AK113">
        <v>122</v>
      </c>
      <c r="AL113">
        <v>111</v>
      </c>
      <c r="AM113">
        <v>12945</v>
      </c>
      <c r="AN113">
        <v>5400</v>
      </c>
      <c r="AO113">
        <v>99.1</v>
      </c>
      <c r="AP113">
        <v>66.5</v>
      </c>
      <c r="AY113" s="40" t="s">
        <v>16</v>
      </c>
      <c r="AZ113" s="2">
        <v>70</v>
      </c>
    </row>
    <row r="114" spans="1:52" ht="15.75" x14ac:dyDescent="0.25">
      <c r="A114" s="4" t="s">
        <v>10</v>
      </c>
      <c r="B114" s="2">
        <v>161</v>
      </c>
      <c r="C114" s="5" t="s">
        <v>41</v>
      </c>
      <c r="D114" s="1" t="s">
        <v>1</v>
      </c>
      <c r="E114" s="5" t="s">
        <v>22</v>
      </c>
      <c r="F114" s="1" t="s">
        <v>3</v>
      </c>
      <c r="G114" s="5" t="s">
        <v>11</v>
      </c>
      <c r="H114" s="1" t="s">
        <v>17</v>
      </c>
      <c r="I114" s="5" t="s">
        <v>6</v>
      </c>
      <c r="J114" s="2">
        <v>93</v>
      </c>
      <c r="K114" s="4">
        <v>157.30000000000001</v>
      </c>
      <c r="L114" s="2">
        <v>63.8</v>
      </c>
      <c r="M114" s="4">
        <v>50.8</v>
      </c>
      <c r="N114" s="2">
        <v>2145</v>
      </c>
      <c r="O114" s="5" t="s">
        <v>18</v>
      </c>
      <c r="P114" s="1" t="s">
        <v>8</v>
      </c>
      <c r="Q114" s="4">
        <v>98</v>
      </c>
      <c r="R114" s="1" t="s">
        <v>42</v>
      </c>
      <c r="S114" s="4">
        <v>3.03</v>
      </c>
      <c r="T114" s="2">
        <v>3.39</v>
      </c>
      <c r="U114" s="4">
        <v>7.6</v>
      </c>
      <c r="V114" s="2">
        <v>102</v>
      </c>
      <c r="W114" s="4">
        <v>5500</v>
      </c>
      <c r="X114" s="2">
        <v>24</v>
      </c>
      <c r="Y114" s="4">
        <v>30</v>
      </c>
      <c r="Z114" s="2">
        <v>7689</v>
      </c>
      <c r="AC114" s="11">
        <f t="shared" si="6"/>
        <v>98</v>
      </c>
      <c r="AD114" s="11">
        <f t="shared" si="7"/>
        <v>102</v>
      </c>
      <c r="AE114" s="11">
        <f t="shared" si="8"/>
        <v>7689</v>
      </c>
      <c r="AF114" s="11">
        <f t="shared" si="9"/>
        <v>5500</v>
      </c>
      <c r="AG114" s="11">
        <f t="shared" si="10"/>
        <v>93</v>
      </c>
      <c r="AH114" s="11">
        <f t="shared" si="11"/>
        <v>63.8</v>
      </c>
      <c r="AJ114" s="40" t="s">
        <v>41</v>
      </c>
      <c r="AK114">
        <v>122</v>
      </c>
      <c r="AL114">
        <v>111</v>
      </c>
      <c r="AM114">
        <v>12964</v>
      </c>
      <c r="AN114">
        <v>5400</v>
      </c>
      <c r="AO114">
        <v>99.1</v>
      </c>
      <c r="AP114">
        <v>66.5</v>
      </c>
      <c r="AY114" s="40" t="s">
        <v>11</v>
      </c>
      <c r="AZ114" s="2">
        <v>102</v>
      </c>
    </row>
    <row r="115" spans="1:52" ht="15.75" x14ac:dyDescent="0.25">
      <c r="A115" s="4" t="s">
        <v>10</v>
      </c>
      <c r="B115" s="2">
        <v>148</v>
      </c>
      <c r="C115" s="5" t="s">
        <v>29</v>
      </c>
      <c r="D115" s="1" t="s">
        <v>1</v>
      </c>
      <c r="E115" s="5" t="s">
        <v>2</v>
      </c>
      <c r="F115" s="1" t="s">
        <v>8</v>
      </c>
      <c r="G115" s="5" t="s">
        <v>16</v>
      </c>
      <c r="H115" s="1" t="s">
        <v>17</v>
      </c>
      <c r="I115" s="5" t="s">
        <v>6</v>
      </c>
      <c r="J115" s="2">
        <v>93.7</v>
      </c>
      <c r="K115" s="4">
        <v>157.30000000000001</v>
      </c>
      <c r="L115" s="2">
        <v>63.8</v>
      </c>
      <c r="M115" s="4">
        <v>50.6</v>
      </c>
      <c r="N115" s="2">
        <v>1989</v>
      </c>
      <c r="O115" s="5" t="s">
        <v>18</v>
      </c>
      <c r="P115" s="1" t="s">
        <v>8</v>
      </c>
      <c r="Q115" s="4">
        <v>90</v>
      </c>
      <c r="R115" s="1" t="s">
        <v>28</v>
      </c>
      <c r="S115" s="4">
        <v>2.97</v>
      </c>
      <c r="T115" s="2">
        <v>3.23</v>
      </c>
      <c r="U115" s="4">
        <v>9.4</v>
      </c>
      <c r="V115" s="2">
        <v>68</v>
      </c>
      <c r="W115" s="4">
        <v>5500</v>
      </c>
      <c r="X115" s="2">
        <v>31</v>
      </c>
      <c r="Y115" s="4">
        <v>38</v>
      </c>
      <c r="Z115" s="2">
        <v>7609</v>
      </c>
      <c r="AC115" s="11">
        <f t="shared" si="6"/>
        <v>90</v>
      </c>
      <c r="AD115" s="11">
        <f t="shared" si="7"/>
        <v>68</v>
      </c>
      <c r="AE115" s="11">
        <f t="shared" si="8"/>
        <v>7609</v>
      </c>
      <c r="AF115" s="11">
        <f t="shared" si="9"/>
        <v>5500</v>
      </c>
      <c r="AG115" s="11">
        <f t="shared" si="10"/>
        <v>93.7</v>
      </c>
      <c r="AH115" s="11">
        <f t="shared" si="11"/>
        <v>63.8</v>
      </c>
      <c r="AJ115" s="40" t="s">
        <v>29</v>
      </c>
      <c r="AK115">
        <v>122</v>
      </c>
      <c r="AL115">
        <v>112</v>
      </c>
      <c r="AM115">
        <v>13200</v>
      </c>
      <c r="AN115">
        <v>5400</v>
      </c>
      <c r="AO115">
        <v>99.2</v>
      </c>
      <c r="AP115">
        <v>66.5</v>
      </c>
      <c r="AY115" s="40" t="s">
        <v>16</v>
      </c>
      <c r="AZ115" s="2">
        <v>68</v>
      </c>
    </row>
    <row r="116" spans="1:52" ht="15.75" x14ac:dyDescent="0.25">
      <c r="A116" s="4" t="s">
        <v>10</v>
      </c>
      <c r="B116" s="2">
        <v>154</v>
      </c>
      <c r="C116" s="5" t="s">
        <v>45</v>
      </c>
      <c r="D116" s="1" t="s">
        <v>1</v>
      </c>
      <c r="E116" s="5" t="s">
        <v>2</v>
      </c>
      <c r="F116" s="1" t="s">
        <v>8</v>
      </c>
      <c r="G116" s="5" t="s">
        <v>16</v>
      </c>
      <c r="H116" s="1" t="s">
        <v>17</v>
      </c>
      <c r="I116" s="5" t="s">
        <v>6</v>
      </c>
      <c r="J116" s="2">
        <v>93.7</v>
      </c>
      <c r="K116" s="4">
        <v>167.3</v>
      </c>
      <c r="L116" s="2">
        <v>63.8</v>
      </c>
      <c r="M116" s="4">
        <v>50.8</v>
      </c>
      <c r="N116" s="2">
        <v>2191</v>
      </c>
      <c r="O116" s="5" t="s">
        <v>18</v>
      </c>
      <c r="P116" s="1" t="s">
        <v>8</v>
      </c>
      <c r="Q116" s="4">
        <v>98</v>
      </c>
      <c r="R116" s="1" t="s">
        <v>28</v>
      </c>
      <c r="S116" s="4">
        <v>2.97</v>
      </c>
      <c r="T116" s="2">
        <v>3.23</v>
      </c>
      <c r="U116" s="4">
        <v>9.4</v>
      </c>
      <c r="V116" s="2">
        <v>68</v>
      </c>
      <c r="W116" s="4">
        <v>5500</v>
      </c>
      <c r="X116" s="2">
        <v>31</v>
      </c>
      <c r="Y116" s="4">
        <v>38</v>
      </c>
      <c r="Z116" s="2">
        <v>7609</v>
      </c>
      <c r="AC116" s="11">
        <f t="shared" si="6"/>
        <v>98</v>
      </c>
      <c r="AD116" s="11">
        <f t="shared" si="7"/>
        <v>68</v>
      </c>
      <c r="AE116" s="11">
        <f t="shared" si="8"/>
        <v>7609</v>
      </c>
      <c r="AF116" s="11">
        <f t="shared" si="9"/>
        <v>5500</v>
      </c>
      <c r="AG116" s="11">
        <f t="shared" si="10"/>
        <v>93.7</v>
      </c>
      <c r="AH116" s="11">
        <f t="shared" si="11"/>
        <v>63.8</v>
      </c>
      <c r="AJ116" s="40" t="s">
        <v>45</v>
      </c>
      <c r="AK116">
        <v>122</v>
      </c>
      <c r="AL116">
        <v>112</v>
      </c>
      <c r="AM116">
        <v>13415</v>
      </c>
      <c r="AN116">
        <v>5500</v>
      </c>
      <c r="AO116">
        <v>99.4</v>
      </c>
      <c r="AP116">
        <v>66.5</v>
      </c>
      <c r="AY116" s="40" t="s">
        <v>16</v>
      </c>
      <c r="AZ116" s="2">
        <v>68</v>
      </c>
    </row>
    <row r="117" spans="1:52" ht="15.75" x14ac:dyDescent="0.25">
      <c r="A117" s="4" t="s">
        <v>14</v>
      </c>
      <c r="B117" s="2">
        <v>83</v>
      </c>
      <c r="C117" s="5" t="s">
        <v>49</v>
      </c>
      <c r="D117" s="1" t="s">
        <v>1</v>
      </c>
      <c r="E117" s="5" t="s">
        <v>2</v>
      </c>
      <c r="F117" s="1" t="s">
        <v>3</v>
      </c>
      <c r="G117" s="5" t="s">
        <v>11</v>
      </c>
      <c r="H117" s="1" t="s">
        <v>19</v>
      </c>
      <c r="I117" s="5" t="s">
        <v>6</v>
      </c>
      <c r="J117" s="2">
        <v>93.3</v>
      </c>
      <c r="K117" s="4">
        <v>157.30000000000001</v>
      </c>
      <c r="L117" s="2">
        <v>63.8</v>
      </c>
      <c r="M117" s="4">
        <v>55.7</v>
      </c>
      <c r="N117" s="2">
        <v>2240</v>
      </c>
      <c r="O117" s="5" t="s">
        <v>47</v>
      </c>
      <c r="P117" s="1" t="s">
        <v>8</v>
      </c>
      <c r="Q117" s="4">
        <v>108</v>
      </c>
      <c r="R117" s="1" t="s">
        <v>28</v>
      </c>
      <c r="S117" s="4">
        <v>3.62</v>
      </c>
      <c r="T117" s="2">
        <v>2.64</v>
      </c>
      <c r="U117" s="4">
        <v>8.6999999999999993</v>
      </c>
      <c r="V117" s="2">
        <v>73</v>
      </c>
      <c r="W117" s="4">
        <v>4400</v>
      </c>
      <c r="X117" s="2">
        <v>26</v>
      </c>
      <c r="Y117" s="4">
        <v>31</v>
      </c>
      <c r="Z117" s="2">
        <v>7603</v>
      </c>
      <c r="AC117" s="11">
        <f t="shared" si="6"/>
        <v>108</v>
      </c>
      <c r="AD117" s="11">
        <f t="shared" si="7"/>
        <v>73</v>
      </c>
      <c r="AE117" s="11">
        <f t="shared" si="8"/>
        <v>7603</v>
      </c>
      <c r="AF117" s="11">
        <f t="shared" si="9"/>
        <v>4400</v>
      </c>
      <c r="AG117" s="11">
        <f t="shared" si="10"/>
        <v>93.3</v>
      </c>
      <c r="AH117" s="11">
        <f t="shared" si="11"/>
        <v>63.8</v>
      </c>
      <c r="AJ117" s="40" t="s">
        <v>49</v>
      </c>
      <c r="AK117">
        <v>130</v>
      </c>
      <c r="AL117">
        <v>114</v>
      </c>
      <c r="AM117">
        <v>13499</v>
      </c>
      <c r="AN117">
        <v>5500</v>
      </c>
      <c r="AO117">
        <v>99.8</v>
      </c>
      <c r="AP117">
        <v>66.5</v>
      </c>
      <c r="AY117" s="40" t="s">
        <v>11</v>
      </c>
      <c r="AZ117" s="2">
        <v>73</v>
      </c>
    </row>
    <row r="118" spans="1:52" ht="15.75" x14ac:dyDescent="0.25">
      <c r="A118" s="4" t="s">
        <v>10</v>
      </c>
      <c r="B118" s="2">
        <v>122</v>
      </c>
      <c r="C118" s="5" t="s">
        <v>43</v>
      </c>
      <c r="D118" s="1" t="s">
        <v>1</v>
      </c>
      <c r="E118" s="5" t="s">
        <v>2</v>
      </c>
      <c r="F118" s="1" t="s">
        <v>8</v>
      </c>
      <c r="G118" s="5" t="s">
        <v>16</v>
      </c>
      <c r="H118" s="1" t="s">
        <v>17</v>
      </c>
      <c r="I118" s="5" t="s">
        <v>6</v>
      </c>
      <c r="J118" s="2">
        <v>94.5</v>
      </c>
      <c r="K118" s="4">
        <v>165.3</v>
      </c>
      <c r="L118" s="2">
        <v>63.8</v>
      </c>
      <c r="M118" s="4">
        <v>54.5</v>
      </c>
      <c r="N118" s="2">
        <v>1971</v>
      </c>
      <c r="O118" s="5" t="s">
        <v>18</v>
      </c>
      <c r="P118" s="1" t="s">
        <v>8</v>
      </c>
      <c r="Q118" s="4">
        <v>97</v>
      </c>
      <c r="R118" s="1" t="s">
        <v>28</v>
      </c>
      <c r="S118" s="4">
        <v>3.15</v>
      </c>
      <c r="T118" s="2">
        <v>3.29</v>
      </c>
      <c r="U118" s="4">
        <v>9.4</v>
      </c>
      <c r="V118" s="2">
        <v>69</v>
      </c>
      <c r="W118" s="4">
        <v>5200</v>
      </c>
      <c r="X118" s="2">
        <v>31</v>
      </c>
      <c r="Y118" s="4">
        <v>37</v>
      </c>
      <c r="Z118" s="2">
        <v>7499</v>
      </c>
      <c r="AC118" s="11">
        <f t="shared" si="6"/>
        <v>97</v>
      </c>
      <c r="AD118" s="11">
        <f t="shared" si="7"/>
        <v>69</v>
      </c>
      <c r="AE118" s="11">
        <f t="shared" si="8"/>
        <v>7499</v>
      </c>
      <c r="AF118" s="11">
        <f t="shared" si="9"/>
        <v>5200</v>
      </c>
      <c r="AG118" s="11">
        <f t="shared" si="10"/>
        <v>94.5</v>
      </c>
      <c r="AH118" s="11">
        <f t="shared" si="11"/>
        <v>63.8</v>
      </c>
      <c r="AJ118" s="40" t="s">
        <v>43</v>
      </c>
      <c r="AK118">
        <v>130</v>
      </c>
      <c r="AL118">
        <v>114</v>
      </c>
      <c r="AM118">
        <v>13499</v>
      </c>
      <c r="AN118">
        <v>5500</v>
      </c>
      <c r="AO118">
        <v>100.4</v>
      </c>
      <c r="AP118">
        <v>66.5</v>
      </c>
      <c r="AY118" s="40" t="s">
        <v>16</v>
      </c>
      <c r="AZ118" s="2">
        <v>69</v>
      </c>
    </row>
    <row r="119" spans="1:52" ht="15.75" x14ac:dyDescent="0.25">
      <c r="A119" s="4" t="s">
        <v>23</v>
      </c>
      <c r="B119" s="2">
        <v>89</v>
      </c>
      <c r="C119" s="5" t="s">
        <v>49</v>
      </c>
      <c r="D119" s="1" t="s">
        <v>1</v>
      </c>
      <c r="E119" s="5" t="s">
        <v>2</v>
      </c>
      <c r="F119" s="1" t="s">
        <v>8</v>
      </c>
      <c r="G119" s="5" t="s">
        <v>21</v>
      </c>
      <c r="H119" s="1" t="s">
        <v>17</v>
      </c>
      <c r="I119" s="5" t="s">
        <v>6</v>
      </c>
      <c r="J119" s="2">
        <v>97</v>
      </c>
      <c r="K119" s="4">
        <v>173.5</v>
      </c>
      <c r="L119" s="2">
        <v>65.400000000000006</v>
      </c>
      <c r="M119" s="4">
        <v>53</v>
      </c>
      <c r="N119" s="2">
        <v>2290</v>
      </c>
      <c r="O119" s="5" t="s">
        <v>47</v>
      </c>
      <c r="P119" s="1" t="s">
        <v>8</v>
      </c>
      <c r="Q119" s="4">
        <v>108</v>
      </c>
      <c r="R119" s="1" t="s">
        <v>28</v>
      </c>
      <c r="S119" s="4">
        <v>3.62</v>
      </c>
      <c r="T119" s="2">
        <v>2.64</v>
      </c>
      <c r="U119" s="4">
        <v>9</v>
      </c>
      <c r="V119" s="2">
        <v>82</v>
      </c>
      <c r="W119" s="4">
        <v>4800</v>
      </c>
      <c r="X119" s="2">
        <v>28</v>
      </c>
      <c r="Y119" s="4">
        <v>32</v>
      </c>
      <c r="Z119" s="2">
        <v>7463</v>
      </c>
      <c r="AC119" s="11">
        <f t="shared" si="6"/>
        <v>108</v>
      </c>
      <c r="AD119" s="11">
        <f t="shared" si="7"/>
        <v>82</v>
      </c>
      <c r="AE119" s="11">
        <f t="shared" si="8"/>
        <v>7463</v>
      </c>
      <c r="AF119" s="11">
        <f t="shared" si="9"/>
        <v>4800</v>
      </c>
      <c r="AG119" s="11">
        <f t="shared" si="10"/>
        <v>97</v>
      </c>
      <c r="AH119" s="11">
        <f t="shared" si="11"/>
        <v>65.400000000000006</v>
      </c>
      <c r="AJ119" s="40" t="s">
        <v>49</v>
      </c>
      <c r="AK119">
        <v>131</v>
      </c>
      <c r="AL119">
        <v>114</v>
      </c>
      <c r="AM119">
        <v>13950</v>
      </c>
      <c r="AN119">
        <v>5500</v>
      </c>
      <c r="AO119">
        <v>100.4</v>
      </c>
      <c r="AP119">
        <v>66.5</v>
      </c>
      <c r="AY119" s="40" t="s">
        <v>21</v>
      </c>
      <c r="AZ119" s="2">
        <v>82</v>
      </c>
    </row>
    <row r="120" spans="1:52" ht="15.75" x14ac:dyDescent="0.25">
      <c r="A120" s="4" t="s">
        <v>10</v>
      </c>
      <c r="B120" s="2">
        <v>113</v>
      </c>
      <c r="C120" s="5" t="s">
        <v>35</v>
      </c>
      <c r="D120" s="1" t="s">
        <v>1</v>
      </c>
      <c r="E120" s="5" t="s">
        <v>2</v>
      </c>
      <c r="F120" s="1" t="s">
        <v>8</v>
      </c>
      <c r="G120" s="5" t="s">
        <v>16</v>
      </c>
      <c r="H120" s="1" t="s">
        <v>17</v>
      </c>
      <c r="I120" s="5" t="s">
        <v>6</v>
      </c>
      <c r="J120" s="2">
        <v>93.1</v>
      </c>
      <c r="K120" s="4">
        <v>166.8</v>
      </c>
      <c r="L120" s="2">
        <v>64.2</v>
      </c>
      <c r="M120" s="4">
        <v>54.1</v>
      </c>
      <c r="N120" s="2">
        <v>1950</v>
      </c>
      <c r="O120" s="5" t="s">
        <v>18</v>
      </c>
      <c r="P120" s="1" t="s">
        <v>8</v>
      </c>
      <c r="Q120" s="4">
        <v>91</v>
      </c>
      <c r="R120" s="1" t="s">
        <v>28</v>
      </c>
      <c r="S120" s="4">
        <v>3.08</v>
      </c>
      <c r="T120" s="2">
        <v>3.15</v>
      </c>
      <c r="U120" s="4">
        <v>9</v>
      </c>
      <c r="V120" s="2">
        <v>68</v>
      </c>
      <c r="W120" s="4">
        <v>5000</v>
      </c>
      <c r="X120" s="2">
        <v>31</v>
      </c>
      <c r="Y120" s="4">
        <v>38</v>
      </c>
      <c r="Z120" s="2">
        <v>7395</v>
      </c>
      <c r="AC120" s="11">
        <f t="shared" si="6"/>
        <v>91</v>
      </c>
      <c r="AD120" s="11">
        <f t="shared" si="7"/>
        <v>68</v>
      </c>
      <c r="AE120" s="11">
        <f t="shared" si="8"/>
        <v>7395</v>
      </c>
      <c r="AF120" s="11">
        <f t="shared" si="9"/>
        <v>5000</v>
      </c>
      <c r="AG120" s="11">
        <f t="shared" si="10"/>
        <v>93.1</v>
      </c>
      <c r="AH120" s="11">
        <f t="shared" si="11"/>
        <v>64.2</v>
      </c>
      <c r="AJ120" s="40" t="s">
        <v>35</v>
      </c>
      <c r="AK120">
        <v>134</v>
      </c>
      <c r="AL120">
        <v>114</v>
      </c>
      <c r="AM120">
        <v>14399</v>
      </c>
      <c r="AN120">
        <v>5500</v>
      </c>
      <c r="AO120">
        <v>100.4</v>
      </c>
      <c r="AP120">
        <v>66.5</v>
      </c>
      <c r="AY120" s="40" t="s">
        <v>16</v>
      </c>
      <c r="AZ120" s="2">
        <v>68</v>
      </c>
    </row>
    <row r="121" spans="1:52" ht="15.75" x14ac:dyDescent="0.25">
      <c r="A121" s="4" t="s">
        <v>10</v>
      </c>
      <c r="B121" s="2">
        <v>103</v>
      </c>
      <c r="C121" s="5" t="s">
        <v>43</v>
      </c>
      <c r="D121" s="1" t="s">
        <v>1</v>
      </c>
      <c r="E121" s="5" t="s">
        <v>2</v>
      </c>
      <c r="F121" s="1" t="s">
        <v>8</v>
      </c>
      <c r="G121" s="5" t="s">
        <v>21</v>
      </c>
      <c r="H121" s="1" t="s">
        <v>17</v>
      </c>
      <c r="I121" s="5" t="s">
        <v>6</v>
      </c>
      <c r="J121" s="2">
        <v>94.5</v>
      </c>
      <c r="K121" s="4">
        <v>170.2</v>
      </c>
      <c r="L121" s="2">
        <v>63.8</v>
      </c>
      <c r="M121" s="4">
        <v>53.5</v>
      </c>
      <c r="N121" s="2">
        <v>2024</v>
      </c>
      <c r="O121" s="5" t="s">
        <v>18</v>
      </c>
      <c r="P121" s="1" t="s">
        <v>8</v>
      </c>
      <c r="Q121" s="4">
        <v>97</v>
      </c>
      <c r="R121" s="1" t="s">
        <v>28</v>
      </c>
      <c r="S121" s="4">
        <v>3.15</v>
      </c>
      <c r="T121" s="2">
        <v>3.29</v>
      </c>
      <c r="U121" s="4">
        <v>9.4</v>
      </c>
      <c r="V121" s="2">
        <v>69</v>
      </c>
      <c r="W121" s="4">
        <v>5200</v>
      </c>
      <c r="X121" s="2">
        <v>31</v>
      </c>
      <c r="Y121" s="4">
        <v>37</v>
      </c>
      <c r="Z121" s="2">
        <v>7349</v>
      </c>
      <c r="AC121" s="11">
        <f t="shared" si="6"/>
        <v>97</v>
      </c>
      <c r="AD121" s="11">
        <f t="shared" si="7"/>
        <v>69</v>
      </c>
      <c r="AE121" s="11">
        <f t="shared" si="8"/>
        <v>7349</v>
      </c>
      <c r="AF121" s="11">
        <f t="shared" si="9"/>
        <v>5200</v>
      </c>
      <c r="AG121" s="11">
        <f t="shared" si="10"/>
        <v>94.5</v>
      </c>
      <c r="AH121" s="11">
        <f t="shared" si="11"/>
        <v>63.8</v>
      </c>
      <c r="AJ121" s="40" t="s">
        <v>43</v>
      </c>
      <c r="AK121">
        <v>136</v>
      </c>
      <c r="AL121">
        <v>114</v>
      </c>
      <c r="AM121">
        <v>15040</v>
      </c>
      <c r="AN121">
        <v>5500</v>
      </c>
      <c r="AO121">
        <v>101.2</v>
      </c>
      <c r="AP121">
        <v>66.5</v>
      </c>
      <c r="AY121" s="40" t="s">
        <v>21</v>
      </c>
      <c r="AZ121" s="2">
        <v>69</v>
      </c>
    </row>
    <row r="122" spans="1:52" ht="15.75" x14ac:dyDescent="0.25">
      <c r="A122" s="4" t="s">
        <v>10</v>
      </c>
      <c r="B122" s="2">
        <v>128</v>
      </c>
      <c r="C122" s="5" t="s">
        <v>43</v>
      </c>
      <c r="D122" s="1" t="s">
        <v>1</v>
      </c>
      <c r="E122" s="5" t="s">
        <v>2</v>
      </c>
      <c r="F122" s="1" t="s">
        <v>3</v>
      </c>
      <c r="G122" s="5" t="s">
        <v>16</v>
      </c>
      <c r="H122" s="1" t="s">
        <v>17</v>
      </c>
      <c r="I122" s="5" t="s">
        <v>6</v>
      </c>
      <c r="J122" s="2">
        <v>94.5</v>
      </c>
      <c r="K122" s="4">
        <v>165.3</v>
      </c>
      <c r="L122" s="2">
        <v>63.8</v>
      </c>
      <c r="M122" s="4">
        <v>54.5</v>
      </c>
      <c r="N122" s="2">
        <v>1951</v>
      </c>
      <c r="O122" s="5" t="s">
        <v>18</v>
      </c>
      <c r="P122" s="1" t="s">
        <v>8</v>
      </c>
      <c r="Q122" s="4">
        <v>97</v>
      </c>
      <c r="R122" s="1" t="s">
        <v>28</v>
      </c>
      <c r="S122" s="4">
        <v>3.15</v>
      </c>
      <c r="T122" s="2">
        <v>3.29</v>
      </c>
      <c r="U122" s="4">
        <v>9.4</v>
      </c>
      <c r="V122" s="2">
        <v>69</v>
      </c>
      <c r="W122" s="4">
        <v>5200</v>
      </c>
      <c r="X122" s="2">
        <v>31</v>
      </c>
      <c r="Y122" s="4">
        <v>37</v>
      </c>
      <c r="Z122" s="2">
        <v>7299</v>
      </c>
      <c r="AC122" s="11">
        <f t="shared" si="6"/>
        <v>97</v>
      </c>
      <c r="AD122" s="11">
        <f t="shared" si="7"/>
        <v>69</v>
      </c>
      <c r="AE122" s="11">
        <f t="shared" si="8"/>
        <v>7299</v>
      </c>
      <c r="AF122" s="11">
        <f t="shared" si="9"/>
        <v>5200</v>
      </c>
      <c r="AG122" s="11">
        <f t="shared" si="10"/>
        <v>94.5</v>
      </c>
      <c r="AH122" s="11">
        <f t="shared" si="11"/>
        <v>63.8</v>
      </c>
      <c r="AJ122" s="40" t="s">
        <v>43</v>
      </c>
      <c r="AK122">
        <v>136</v>
      </c>
      <c r="AL122">
        <v>114</v>
      </c>
      <c r="AM122">
        <v>15510</v>
      </c>
      <c r="AN122">
        <v>5500</v>
      </c>
      <c r="AO122">
        <v>101.2</v>
      </c>
      <c r="AP122">
        <v>66.5</v>
      </c>
      <c r="AY122" s="40" t="s">
        <v>16</v>
      </c>
      <c r="AZ122" s="2">
        <v>69</v>
      </c>
    </row>
    <row r="123" spans="1:52" ht="15.75" x14ac:dyDescent="0.25">
      <c r="A123" s="4" t="s">
        <v>23</v>
      </c>
      <c r="B123" s="2">
        <v>110</v>
      </c>
      <c r="C123" s="5" t="s">
        <v>32</v>
      </c>
      <c r="D123" s="1" t="s">
        <v>1</v>
      </c>
      <c r="E123" s="5" t="s">
        <v>2</v>
      </c>
      <c r="F123" s="1" t="s">
        <v>8</v>
      </c>
      <c r="G123" s="5" t="s">
        <v>16</v>
      </c>
      <c r="H123" s="1" t="s">
        <v>17</v>
      </c>
      <c r="I123" s="5" t="s">
        <v>6</v>
      </c>
      <c r="J123" s="2">
        <v>96.5</v>
      </c>
      <c r="K123" s="4">
        <v>163.4</v>
      </c>
      <c r="L123" s="2">
        <v>64</v>
      </c>
      <c r="M123" s="4">
        <v>54.5</v>
      </c>
      <c r="N123" s="2">
        <v>2010</v>
      </c>
      <c r="O123" s="5" t="s">
        <v>18</v>
      </c>
      <c r="P123" s="1" t="s">
        <v>8</v>
      </c>
      <c r="Q123" s="4">
        <v>92</v>
      </c>
      <c r="R123" s="1" t="s">
        <v>33</v>
      </c>
      <c r="S123" s="4">
        <v>2.91</v>
      </c>
      <c r="T123" s="2">
        <v>3.41</v>
      </c>
      <c r="U123" s="4">
        <v>9.1999999999999993</v>
      </c>
      <c r="V123" s="2">
        <v>76</v>
      </c>
      <c r="W123" s="4">
        <v>6000</v>
      </c>
      <c r="X123" s="2">
        <v>30</v>
      </c>
      <c r="Y123" s="4">
        <v>34</v>
      </c>
      <c r="Z123" s="2">
        <v>7295</v>
      </c>
      <c r="AC123" s="11">
        <f t="shared" si="6"/>
        <v>92</v>
      </c>
      <c r="AD123" s="11">
        <f t="shared" si="7"/>
        <v>76</v>
      </c>
      <c r="AE123" s="11">
        <f t="shared" si="8"/>
        <v>7295</v>
      </c>
      <c r="AF123" s="11">
        <f t="shared" si="9"/>
        <v>6000</v>
      </c>
      <c r="AG123" s="11">
        <f t="shared" si="10"/>
        <v>96.5</v>
      </c>
      <c r="AH123" s="11">
        <f t="shared" si="11"/>
        <v>64</v>
      </c>
      <c r="AJ123" s="40" t="s">
        <v>32</v>
      </c>
      <c r="AK123">
        <v>140</v>
      </c>
      <c r="AL123">
        <v>115</v>
      </c>
      <c r="AM123">
        <v>15580</v>
      </c>
      <c r="AN123">
        <v>5500</v>
      </c>
      <c r="AO123">
        <v>101.2</v>
      </c>
      <c r="AP123">
        <v>66.5</v>
      </c>
      <c r="AY123" s="40" t="s">
        <v>16</v>
      </c>
      <c r="AZ123" s="2">
        <v>76</v>
      </c>
    </row>
    <row r="124" spans="1:52" ht="15.75" x14ac:dyDescent="0.25">
      <c r="A124" s="4" t="s">
        <v>23</v>
      </c>
      <c r="B124" s="2">
        <v>78</v>
      </c>
      <c r="C124" s="5" t="s">
        <v>32</v>
      </c>
      <c r="D124" s="1" t="s">
        <v>1</v>
      </c>
      <c r="E124" s="5" t="s">
        <v>2</v>
      </c>
      <c r="F124" s="1" t="s">
        <v>8</v>
      </c>
      <c r="G124" s="5" t="s">
        <v>21</v>
      </c>
      <c r="H124" s="1" t="s">
        <v>17</v>
      </c>
      <c r="I124" s="5" t="s">
        <v>6</v>
      </c>
      <c r="J124" s="2">
        <v>96.5</v>
      </c>
      <c r="K124" s="4">
        <v>157.1</v>
      </c>
      <c r="L124" s="2">
        <v>63.9</v>
      </c>
      <c r="M124" s="4">
        <v>58.3</v>
      </c>
      <c r="N124" s="2">
        <v>2024</v>
      </c>
      <c r="O124" s="5" t="s">
        <v>18</v>
      </c>
      <c r="P124" s="1" t="s">
        <v>8</v>
      </c>
      <c r="Q124" s="4">
        <v>92</v>
      </c>
      <c r="R124" s="1" t="s">
        <v>33</v>
      </c>
      <c r="S124" s="4">
        <v>2.92</v>
      </c>
      <c r="T124" s="2">
        <v>3.41</v>
      </c>
      <c r="U124" s="4">
        <v>9.1999999999999993</v>
      </c>
      <c r="V124" s="2">
        <v>76</v>
      </c>
      <c r="W124" s="4">
        <v>6000</v>
      </c>
      <c r="X124" s="2">
        <v>30</v>
      </c>
      <c r="Y124" s="4">
        <v>34</v>
      </c>
      <c r="Z124" s="2">
        <v>7295</v>
      </c>
      <c r="AC124" s="11">
        <f t="shared" si="6"/>
        <v>92</v>
      </c>
      <c r="AD124" s="11">
        <f t="shared" si="7"/>
        <v>76</v>
      </c>
      <c r="AE124" s="11">
        <f t="shared" si="8"/>
        <v>7295</v>
      </c>
      <c r="AF124" s="11">
        <f t="shared" si="9"/>
        <v>6000</v>
      </c>
      <c r="AG124" s="11">
        <f t="shared" si="10"/>
        <v>96.5</v>
      </c>
      <c r="AH124" s="11">
        <f t="shared" si="11"/>
        <v>63.9</v>
      </c>
      <c r="AJ124" s="40" t="s">
        <v>32</v>
      </c>
      <c r="AK124">
        <v>141</v>
      </c>
      <c r="AL124">
        <v>116</v>
      </c>
      <c r="AM124">
        <v>15690</v>
      </c>
      <c r="AN124">
        <v>5500</v>
      </c>
      <c r="AO124">
        <v>101.2</v>
      </c>
      <c r="AP124">
        <v>66.5</v>
      </c>
      <c r="AY124" s="40" t="s">
        <v>21</v>
      </c>
      <c r="AZ124" s="2">
        <v>76</v>
      </c>
    </row>
    <row r="125" spans="1:52" ht="15.75" x14ac:dyDescent="0.25">
      <c r="A125" s="4" t="s">
        <v>23</v>
      </c>
      <c r="B125" s="2">
        <v>91</v>
      </c>
      <c r="C125" s="5" t="s">
        <v>50</v>
      </c>
      <c r="D125" s="1" t="s">
        <v>1</v>
      </c>
      <c r="E125" s="5" t="s">
        <v>2</v>
      </c>
      <c r="F125" s="1" t="s">
        <v>8</v>
      </c>
      <c r="G125" s="5" t="s">
        <v>11</v>
      </c>
      <c r="H125" s="1" t="s">
        <v>17</v>
      </c>
      <c r="I125" s="5" t="s">
        <v>6</v>
      </c>
      <c r="J125" s="2">
        <v>95.7</v>
      </c>
      <c r="K125" s="4">
        <v>166.3</v>
      </c>
      <c r="L125" s="2">
        <v>64.400000000000006</v>
      </c>
      <c r="M125" s="4">
        <v>52.8</v>
      </c>
      <c r="N125" s="2">
        <v>2109</v>
      </c>
      <c r="O125" s="5" t="s">
        <v>18</v>
      </c>
      <c r="P125" s="1" t="s">
        <v>8</v>
      </c>
      <c r="Q125" s="4">
        <v>98</v>
      </c>
      <c r="R125" s="1" t="s">
        <v>28</v>
      </c>
      <c r="S125" s="4">
        <v>3.19</v>
      </c>
      <c r="T125" s="2">
        <v>3.03</v>
      </c>
      <c r="U125" s="4">
        <v>9</v>
      </c>
      <c r="V125" s="2">
        <v>70</v>
      </c>
      <c r="W125" s="4">
        <v>4800</v>
      </c>
      <c r="X125" s="2">
        <v>30</v>
      </c>
      <c r="Y125" s="4">
        <v>37</v>
      </c>
      <c r="Z125" s="2">
        <v>7198</v>
      </c>
      <c r="AC125" s="11">
        <f t="shared" si="6"/>
        <v>98</v>
      </c>
      <c r="AD125" s="11">
        <f t="shared" si="7"/>
        <v>70</v>
      </c>
      <c r="AE125" s="11">
        <f t="shared" si="8"/>
        <v>7198</v>
      </c>
      <c r="AF125" s="11">
        <f t="shared" si="9"/>
        <v>4800</v>
      </c>
      <c r="AG125" s="11">
        <f t="shared" si="10"/>
        <v>95.7</v>
      </c>
      <c r="AH125" s="11">
        <f t="shared" si="11"/>
        <v>64.400000000000006</v>
      </c>
      <c r="AJ125" s="40" t="s">
        <v>50</v>
      </c>
      <c r="AK125">
        <v>141</v>
      </c>
      <c r="AL125">
        <v>116</v>
      </c>
      <c r="AM125">
        <v>15985</v>
      </c>
      <c r="AN125">
        <v>5500</v>
      </c>
      <c r="AO125">
        <v>102.4</v>
      </c>
      <c r="AP125">
        <v>66.5</v>
      </c>
      <c r="AY125" s="40" t="s">
        <v>11</v>
      </c>
      <c r="AZ125" s="2">
        <v>70</v>
      </c>
    </row>
    <row r="126" spans="1:52" ht="15.75" x14ac:dyDescent="0.25">
      <c r="A126" s="4" t="s">
        <v>10</v>
      </c>
      <c r="B126" s="2">
        <v>101</v>
      </c>
      <c r="C126" s="5" t="s">
        <v>32</v>
      </c>
      <c r="D126" s="1" t="s">
        <v>1</v>
      </c>
      <c r="E126" s="5" t="s">
        <v>2</v>
      </c>
      <c r="F126" s="1" t="s">
        <v>3</v>
      </c>
      <c r="G126" s="5" t="s">
        <v>11</v>
      </c>
      <c r="H126" s="1" t="s">
        <v>17</v>
      </c>
      <c r="I126" s="5" t="s">
        <v>6</v>
      </c>
      <c r="J126" s="2">
        <v>93.7</v>
      </c>
      <c r="K126" s="4">
        <v>150</v>
      </c>
      <c r="L126" s="2">
        <v>64</v>
      </c>
      <c r="M126" s="4">
        <v>52.6</v>
      </c>
      <c r="N126" s="2">
        <v>1956</v>
      </c>
      <c r="O126" s="5" t="s">
        <v>18</v>
      </c>
      <c r="P126" s="1" t="s">
        <v>8</v>
      </c>
      <c r="Q126" s="4">
        <v>92</v>
      </c>
      <c r="R126" s="1" t="s">
        <v>33</v>
      </c>
      <c r="S126" s="4">
        <v>2.91</v>
      </c>
      <c r="T126" s="2">
        <v>3.41</v>
      </c>
      <c r="U126" s="4">
        <v>9.1999999999999993</v>
      </c>
      <c r="V126" s="2">
        <v>76</v>
      </c>
      <c r="W126" s="4">
        <v>6000</v>
      </c>
      <c r="X126" s="2">
        <v>30</v>
      </c>
      <c r="Y126" s="4">
        <v>34</v>
      </c>
      <c r="Z126" s="2">
        <v>7129</v>
      </c>
      <c r="AC126" s="11">
        <f t="shared" si="6"/>
        <v>92</v>
      </c>
      <c r="AD126" s="11">
        <f t="shared" si="7"/>
        <v>76</v>
      </c>
      <c r="AE126" s="11">
        <f t="shared" si="8"/>
        <v>7129</v>
      </c>
      <c r="AF126" s="11">
        <f t="shared" si="9"/>
        <v>6000</v>
      </c>
      <c r="AG126" s="11">
        <f t="shared" si="10"/>
        <v>93.7</v>
      </c>
      <c r="AH126" s="11">
        <f t="shared" si="11"/>
        <v>64</v>
      </c>
      <c r="AJ126" s="40" t="s">
        <v>32</v>
      </c>
      <c r="AK126">
        <v>141</v>
      </c>
      <c r="AL126">
        <v>116</v>
      </c>
      <c r="AM126">
        <v>15998</v>
      </c>
      <c r="AN126">
        <v>5500</v>
      </c>
      <c r="AO126">
        <v>102.4</v>
      </c>
      <c r="AP126">
        <v>66.5</v>
      </c>
      <c r="AY126" s="40" t="s">
        <v>11</v>
      </c>
      <c r="AZ126" s="2">
        <v>76</v>
      </c>
    </row>
    <row r="127" spans="1:52" ht="15.75" x14ac:dyDescent="0.25">
      <c r="A127" s="4" t="s">
        <v>23</v>
      </c>
      <c r="B127" s="2">
        <v>102</v>
      </c>
      <c r="C127" s="5" t="s">
        <v>49</v>
      </c>
      <c r="D127" s="1" t="s">
        <v>1</v>
      </c>
      <c r="E127" s="5" t="s">
        <v>2</v>
      </c>
      <c r="F127" s="1" t="s">
        <v>8</v>
      </c>
      <c r="G127" s="5" t="s">
        <v>16</v>
      </c>
      <c r="H127" s="1" t="s">
        <v>17</v>
      </c>
      <c r="I127" s="5" t="s">
        <v>6</v>
      </c>
      <c r="J127" s="2">
        <v>97.2</v>
      </c>
      <c r="K127" s="4">
        <v>172</v>
      </c>
      <c r="L127" s="2">
        <v>65.400000000000006</v>
      </c>
      <c r="M127" s="4">
        <v>52.5</v>
      </c>
      <c r="N127" s="2">
        <v>2145</v>
      </c>
      <c r="O127" s="5" t="s">
        <v>47</v>
      </c>
      <c r="P127" s="1" t="s">
        <v>8</v>
      </c>
      <c r="Q127" s="4">
        <v>108</v>
      </c>
      <c r="R127" s="1" t="s">
        <v>28</v>
      </c>
      <c r="S127" s="4">
        <v>3.62</v>
      </c>
      <c r="T127" s="2">
        <v>2.64</v>
      </c>
      <c r="U127" s="4">
        <v>9.5</v>
      </c>
      <c r="V127" s="2">
        <v>82</v>
      </c>
      <c r="W127" s="4">
        <v>4800</v>
      </c>
      <c r="X127" s="2">
        <v>32</v>
      </c>
      <c r="Y127" s="4">
        <v>37</v>
      </c>
      <c r="Z127" s="2">
        <v>7126</v>
      </c>
      <c r="AC127" s="11">
        <f t="shared" si="6"/>
        <v>108</v>
      </c>
      <c r="AD127" s="11">
        <f t="shared" si="7"/>
        <v>82</v>
      </c>
      <c r="AE127" s="11">
        <f t="shared" si="8"/>
        <v>7126</v>
      </c>
      <c r="AF127" s="11">
        <f t="shared" si="9"/>
        <v>4800</v>
      </c>
      <c r="AG127" s="11">
        <f t="shared" si="10"/>
        <v>97.2</v>
      </c>
      <c r="AH127" s="11">
        <f t="shared" si="11"/>
        <v>65.400000000000006</v>
      </c>
      <c r="AJ127" s="40" t="s">
        <v>49</v>
      </c>
      <c r="AK127">
        <v>141</v>
      </c>
      <c r="AL127">
        <v>116</v>
      </c>
      <c r="AM127">
        <v>16430</v>
      </c>
      <c r="AN127">
        <v>5500</v>
      </c>
      <c r="AO127">
        <v>102.4</v>
      </c>
      <c r="AP127">
        <v>66.5</v>
      </c>
      <c r="AY127" s="40" t="s">
        <v>16</v>
      </c>
      <c r="AZ127" s="2">
        <v>82</v>
      </c>
    </row>
    <row r="128" spans="1:52" ht="15.75" x14ac:dyDescent="0.25">
      <c r="A128" s="4" t="s">
        <v>10</v>
      </c>
      <c r="B128" s="2">
        <v>128</v>
      </c>
      <c r="C128" s="5" t="s">
        <v>43</v>
      </c>
      <c r="D128" s="1" t="s">
        <v>36</v>
      </c>
      <c r="E128" s="5" t="s">
        <v>2</v>
      </c>
      <c r="F128" s="1" t="s">
        <v>3</v>
      </c>
      <c r="G128" s="5" t="s">
        <v>16</v>
      </c>
      <c r="H128" s="1" t="s">
        <v>17</v>
      </c>
      <c r="I128" s="5" t="s">
        <v>6</v>
      </c>
      <c r="J128" s="2">
        <v>94.5</v>
      </c>
      <c r="K128" s="4">
        <v>165.3</v>
      </c>
      <c r="L128" s="2">
        <v>63.8</v>
      </c>
      <c r="M128" s="4">
        <v>54.5</v>
      </c>
      <c r="N128" s="2">
        <v>2017</v>
      </c>
      <c r="O128" s="5" t="s">
        <v>18</v>
      </c>
      <c r="P128" s="1" t="s">
        <v>8</v>
      </c>
      <c r="Q128" s="4">
        <v>103</v>
      </c>
      <c r="R128" s="1" t="s">
        <v>37</v>
      </c>
      <c r="S128" s="4">
        <v>2.99</v>
      </c>
      <c r="T128" s="2">
        <v>3.47</v>
      </c>
      <c r="U128" s="4">
        <v>21.9</v>
      </c>
      <c r="V128" s="2">
        <v>55</v>
      </c>
      <c r="W128" s="4">
        <v>4800</v>
      </c>
      <c r="X128" s="2">
        <v>45</v>
      </c>
      <c r="Y128" s="4">
        <v>50</v>
      </c>
      <c r="Z128" s="2">
        <v>7099</v>
      </c>
      <c r="AC128" s="11">
        <f t="shared" si="6"/>
        <v>103</v>
      </c>
      <c r="AD128" s="11">
        <f t="shared" si="7"/>
        <v>55</v>
      </c>
      <c r="AE128" s="11">
        <f t="shared" si="8"/>
        <v>7099</v>
      </c>
      <c r="AF128" s="11">
        <f t="shared" si="9"/>
        <v>4800</v>
      </c>
      <c r="AG128" s="11">
        <f t="shared" si="10"/>
        <v>94.5</v>
      </c>
      <c r="AH128" s="11">
        <f t="shared" si="11"/>
        <v>63.8</v>
      </c>
      <c r="AJ128" s="40" t="s">
        <v>43</v>
      </c>
      <c r="AK128">
        <v>141</v>
      </c>
      <c r="AL128">
        <v>116</v>
      </c>
      <c r="AM128">
        <v>16515</v>
      </c>
      <c r="AN128">
        <v>5500</v>
      </c>
      <c r="AO128">
        <v>102.4</v>
      </c>
      <c r="AP128">
        <v>66.5</v>
      </c>
      <c r="AY128" s="40" t="s">
        <v>16</v>
      </c>
      <c r="AZ128" s="2">
        <v>55</v>
      </c>
    </row>
    <row r="129" spans="1:52" ht="15.75" x14ac:dyDescent="0.25">
      <c r="A129" s="4" t="s">
        <v>14</v>
      </c>
      <c r="B129" s="2">
        <v>83</v>
      </c>
      <c r="C129" s="5" t="s">
        <v>49</v>
      </c>
      <c r="D129" s="1" t="s">
        <v>1</v>
      </c>
      <c r="E129" s="5" t="s">
        <v>2</v>
      </c>
      <c r="F129" s="1" t="s">
        <v>3</v>
      </c>
      <c r="G129" s="5" t="s">
        <v>11</v>
      </c>
      <c r="H129" s="1" t="s">
        <v>17</v>
      </c>
      <c r="I129" s="5" t="s">
        <v>6</v>
      </c>
      <c r="J129" s="2">
        <v>93.7</v>
      </c>
      <c r="K129" s="4">
        <v>157.9</v>
      </c>
      <c r="L129" s="2">
        <v>63.6</v>
      </c>
      <c r="M129" s="4">
        <v>53.7</v>
      </c>
      <c r="N129" s="2">
        <v>2120</v>
      </c>
      <c r="O129" s="5" t="s">
        <v>47</v>
      </c>
      <c r="P129" s="1" t="s">
        <v>8</v>
      </c>
      <c r="Q129" s="4">
        <v>108</v>
      </c>
      <c r="R129" s="1" t="s">
        <v>28</v>
      </c>
      <c r="S129" s="4">
        <v>3.62</v>
      </c>
      <c r="T129" s="2">
        <v>2.64</v>
      </c>
      <c r="U129" s="4">
        <v>8.6999999999999993</v>
      </c>
      <c r="V129" s="2">
        <v>73</v>
      </c>
      <c r="W129" s="4">
        <v>4400</v>
      </c>
      <c r="X129" s="2">
        <v>26</v>
      </c>
      <c r="Y129" s="4">
        <v>31</v>
      </c>
      <c r="Z129" s="2">
        <v>7053</v>
      </c>
      <c r="AC129" s="11">
        <f t="shared" si="6"/>
        <v>108</v>
      </c>
      <c r="AD129" s="11">
        <f t="shared" si="7"/>
        <v>73</v>
      </c>
      <c r="AE129" s="11">
        <f t="shared" si="8"/>
        <v>7053</v>
      </c>
      <c r="AF129" s="11">
        <f t="shared" si="9"/>
        <v>4400</v>
      </c>
      <c r="AG129" s="11">
        <f t="shared" si="10"/>
        <v>93.7</v>
      </c>
      <c r="AH129" s="11">
        <f t="shared" si="11"/>
        <v>63.6</v>
      </c>
      <c r="AJ129" s="40" t="s">
        <v>49</v>
      </c>
      <c r="AK129">
        <v>141</v>
      </c>
      <c r="AL129">
        <v>116</v>
      </c>
      <c r="AM129">
        <v>16558</v>
      </c>
      <c r="AN129">
        <v>5500</v>
      </c>
      <c r="AO129">
        <v>102.4</v>
      </c>
      <c r="AP129">
        <v>67.2</v>
      </c>
      <c r="AY129" s="40" t="s">
        <v>11</v>
      </c>
      <c r="AZ129" s="2">
        <v>73</v>
      </c>
    </row>
    <row r="130" spans="1:52" ht="15.75" x14ac:dyDescent="0.25">
      <c r="A130" s="4" t="s">
        <v>10</v>
      </c>
      <c r="B130" s="2">
        <v>125</v>
      </c>
      <c r="C130" s="5" t="s">
        <v>41</v>
      </c>
      <c r="D130" s="1" t="s">
        <v>1</v>
      </c>
      <c r="E130" s="5" t="s">
        <v>2</v>
      </c>
      <c r="F130" s="1" t="s">
        <v>8</v>
      </c>
      <c r="G130" s="5" t="s">
        <v>16</v>
      </c>
      <c r="H130" s="1" t="s">
        <v>17</v>
      </c>
      <c r="I130" s="5" t="s">
        <v>6</v>
      </c>
      <c r="J130" s="2">
        <v>96.3</v>
      </c>
      <c r="K130" s="4">
        <v>172.4</v>
      </c>
      <c r="L130" s="2">
        <v>65.400000000000006</v>
      </c>
      <c r="M130" s="4">
        <v>51.6</v>
      </c>
      <c r="N130" s="2">
        <v>2365</v>
      </c>
      <c r="O130" s="5" t="s">
        <v>18</v>
      </c>
      <c r="P130" s="1" t="s">
        <v>8</v>
      </c>
      <c r="Q130" s="4">
        <v>122</v>
      </c>
      <c r="R130" s="1" t="s">
        <v>28</v>
      </c>
      <c r="S130" s="4">
        <v>3.35</v>
      </c>
      <c r="T130" s="2">
        <v>3.46</v>
      </c>
      <c r="U130" s="4">
        <v>8.5</v>
      </c>
      <c r="V130" s="2">
        <v>88</v>
      </c>
      <c r="W130" s="4">
        <v>5000</v>
      </c>
      <c r="X130" s="2">
        <v>25</v>
      </c>
      <c r="Y130" s="4">
        <v>32</v>
      </c>
      <c r="Z130" s="2">
        <v>6989</v>
      </c>
      <c r="AC130" s="11">
        <f t="shared" ref="AC130:AC160" si="12">Q130</f>
        <v>122</v>
      </c>
      <c r="AD130" s="11">
        <f t="shared" ref="AD130:AD160" si="13">V130</f>
        <v>88</v>
      </c>
      <c r="AE130" s="11">
        <f t="shared" ref="AE130:AE160" si="14">Z130</f>
        <v>6989</v>
      </c>
      <c r="AF130" s="11">
        <f t="shared" ref="AF130:AF160" si="15">W130</f>
        <v>5000</v>
      </c>
      <c r="AG130" s="11">
        <f t="shared" ref="AG130:AG160" si="16">J130</f>
        <v>96.3</v>
      </c>
      <c r="AH130" s="11">
        <f t="shared" ref="AH130:AH160" si="17">L130</f>
        <v>65.400000000000006</v>
      </c>
      <c r="AJ130" s="40" t="s">
        <v>41</v>
      </c>
      <c r="AK130">
        <v>141</v>
      </c>
      <c r="AL130">
        <v>116</v>
      </c>
      <c r="AM130">
        <v>16630</v>
      </c>
      <c r="AN130">
        <v>5500</v>
      </c>
      <c r="AO130">
        <v>102.9</v>
      </c>
      <c r="AP130">
        <v>67.2</v>
      </c>
      <c r="AY130" s="40" t="s">
        <v>16</v>
      </c>
      <c r="AZ130" s="2">
        <v>88</v>
      </c>
    </row>
    <row r="131" spans="1:52" ht="15.75" x14ac:dyDescent="0.25">
      <c r="A131" s="4" t="s">
        <v>23</v>
      </c>
      <c r="B131" s="2">
        <v>91</v>
      </c>
      <c r="C131" s="5" t="s">
        <v>50</v>
      </c>
      <c r="D131" s="1" t="s">
        <v>1</v>
      </c>
      <c r="E131" s="5" t="s">
        <v>2</v>
      </c>
      <c r="F131" s="1" t="s">
        <v>8</v>
      </c>
      <c r="G131" s="5" t="s">
        <v>16</v>
      </c>
      <c r="H131" s="1" t="s">
        <v>17</v>
      </c>
      <c r="I131" s="5" t="s">
        <v>6</v>
      </c>
      <c r="J131" s="2">
        <v>95.7</v>
      </c>
      <c r="K131" s="4">
        <v>166.3</v>
      </c>
      <c r="L131" s="2">
        <v>64.400000000000006</v>
      </c>
      <c r="M131" s="4">
        <v>53</v>
      </c>
      <c r="N131" s="2">
        <v>2081</v>
      </c>
      <c r="O131" s="5" t="s">
        <v>18</v>
      </c>
      <c r="P131" s="1" t="s">
        <v>8</v>
      </c>
      <c r="Q131" s="4">
        <v>98</v>
      </c>
      <c r="R131" s="1" t="s">
        <v>28</v>
      </c>
      <c r="S131" s="4">
        <v>3.19</v>
      </c>
      <c r="T131" s="2">
        <v>3.03</v>
      </c>
      <c r="U131" s="4">
        <v>9</v>
      </c>
      <c r="V131" s="2">
        <v>70</v>
      </c>
      <c r="W131" s="4">
        <v>4800</v>
      </c>
      <c r="X131" s="2">
        <v>30</v>
      </c>
      <c r="Y131" s="4">
        <v>37</v>
      </c>
      <c r="Z131" s="2">
        <v>6938</v>
      </c>
      <c r="AC131" s="11">
        <f t="shared" si="12"/>
        <v>98</v>
      </c>
      <c r="AD131" s="11">
        <f t="shared" si="13"/>
        <v>70</v>
      </c>
      <c r="AE131" s="11">
        <f t="shared" si="14"/>
        <v>6938</v>
      </c>
      <c r="AF131" s="11">
        <f t="shared" si="15"/>
        <v>4800</v>
      </c>
      <c r="AG131" s="11">
        <f t="shared" si="16"/>
        <v>95.7</v>
      </c>
      <c r="AH131" s="11">
        <f t="shared" si="17"/>
        <v>64.400000000000006</v>
      </c>
      <c r="AJ131" s="40" t="s">
        <v>50</v>
      </c>
      <c r="AK131">
        <v>145</v>
      </c>
      <c r="AL131">
        <v>116</v>
      </c>
      <c r="AM131">
        <v>16845</v>
      </c>
      <c r="AN131">
        <v>5500</v>
      </c>
      <c r="AO131">
        <v>102.9</v>
      </c>
      <c r="AP131">
        <v>67.2</v>
      </c>
      <c r="AY131" s="40" t="s">
        <v>16</v>
      </c>
      <c r="AZ131" s="2">
        <v>70</v>
      </c>
    </row>
    <row r="132" spans="1:52" ht="15.75" x14ac:dyDescent="0.25">
      <c r="A132" s="4" t="s">
        <v>23</v>
      </c>
      <c r="B132" s="2">
        <v>77</v>
      </c>
      <c r="C132" s="5" t="s">
        <v>50</v>
      </c>
      <c r="D132" s="1" t="s">
        <v>1</v>
      </c>
      <c r="E132" s="5" t="s">
        <v>2</v>
      </c>
      <c r="F132" s="1" t="s">
        <v>8</v>
      </c>
      <c r="G132" s="5" t="s">
        <v>21</v>
      </c>
      <c r="H132" s="1" t="s">
        <v>17</v>
      </c>
      <c r="I132" s="5" t="s">
        <v>6</v>
      </c>
      <c r="J132" s="2">
        <v>95.7</v>
      </c>
      <c r="K132" s="4">
        <v>169.7</v>
      </c>
      <c r="L132" s="2">
        <v>63.6</v>
      </c>
      <c r="M132" s="4">
        <v>59.1</v>
      </c>
      <c r="N132" s="2">
        <v>2280</v>
      </c>
      <c r="O132" s="5" t="s">
        <v>18</v>
      </c>
      <c r="P132" s="1" t="s">
        <v>8</v>
      </c>
      <c r="Q132" s="4">
        <v>92</v>
      </c>
      <c r="R132" s="1" t="s">
        <v>28</v>
      </c>
      <c r="S132" s="4">
        <v>3.05</v>
      </c>
      <c r="T132" s="2">
        <v>3.03</v>
      </c>
      <c r="U132" s="4">
        <v>9</v>
      </c>
      <c r="V132" s="2">
        <v>62</v>
      </c>
      <c r="W132" s="4">
        <v>4800</v>
      </c>
      <c r="X132" s="2">
        <v>31</v>
      </c>
      <c r="Y132" s="4">
        <v>37</v>
      </c>
      <c r="Z132" s="2">
        <v>6918</v>
      </c>
      <c r="AC132" s="11">
        <f t="shared" si="12"/>
        <v>92</v>
      </c>
      <c r="AD132" s="11">
        <f t="shared" si="13"/>
        <v>62</v>
      </c>
      <c r="AE132" s="11">
        <f t="shared" si="14"/>
        <v>6918</v>
      </c>
      <c r="AF132" s="11">
        <f t="shared" si="15"/>
        <v>4800</v>
      </c>
      <c r="AG132" s="11">
        <f t="shared" si="16"/>
        <v>95.7</v>
      </c>
      <c r="AH132" s="11">
        <f t="shared" si="17"/>
        <v>63.6</v>
      </c>
      <c r="AJ132" s="40" t="s">
        <v>50</v>
      </c>
      <c r="AK132">
        <v>146</v>
      </c>
      <c r="AL132">
        <v>116</v>
      </c>
      <c r="AM132">
        <v>16900</v>
      </c>
      <c r="AN132">
        <v>5500</v>
      </c>
      <c r="AO132">
        <v>103.3</v>
      </c>
      <c r="AP132">
        <v>67.2</v>
      </c>
      <c r="AY132" s="40" t="s">
        <v>21</v>
      </c>
      <c r="AZ132" s="2">
        <v>62</v>
      </c>
    </row>
    <row r="133" spans="1:52" ht="15.75" x14ac:dyDescent="0.25">
      <c r="A133" s="4" t="s">
        <v>14</v>
      </c>
      <c r="B133" s="2">
        <v>137</v>
      </c>
      <c r="C133" s="5" t="s">
        <v>32</v>
      </c>
      <c r="D133" s="1" t="s">
        <v>1</v>
      </c>
      <c r="E133" s="5" t="s">
        <v>2</v>
      </c>
      <c r="F133" s="1" t="s">
        <v>3</v>
      </c>
      <c r="G133" s="5" t="s">
        <v>11</v>
      </c>
      <c r="H133" s="1" t="s">
        <v>17</v>
      </c>
      <c r="I133" s="5" t="s">
        <v>6</v>
      </c>
      <c r="J133" s="2">
        <v>86.6</v>
      </c>
      <c r="K133" s="4">
        <v>144.6</v>
      </c>
      <c r="L133" s="2">
        <v>63.9</v>
      </c>
      <c r="M133" s="4">
        <v>50.8</v>
      </c>
      <c r="N133" s="2">
        <v>1819</v>
      </c>
      <c r="O133" s="5" t="s">
        <v>18</v>
      </c>
      <c r="P133" s="1" t="s">
        <v>8</v>
      </c>
      <c r="Q133" s="4">
        <v>92</v>
      </c>
      <c r="R133" s="1" t="s">
        <v>33</v>
      </c>
      <c r="S133" s="4">
        <v>2.91</v>
      </c>
      <c r="T133" s="2">
        <v>3.41</v>
      </c>
      <c r="U133" s="4">
        <v>9.1999999999999993</v>
      </c>
      <c r="V133" s="2">
        <v>76</v>
      </c>
      <c r="W133" s="4">
        <v>6000</v>
      </c>
      <c r="X133" s="2">
        <v>31</v>
      </c>
      <c r="Y133" s="4">
        <v>38</v>
      </c>
      <c r="Z133" s="2">
        <v>6855</v>
      </c>
      <c r="AC133" s="11">
        <f t="shared" si="12"/>
        <v>92</v>
      </c>
      <c r="AD133" s="11">
        <f t="shared" si="13"/>
        <v>76</v>
      </c>
      <c r="AE133" s="11">
        <f t="shared" si="14"/>
        <v>6855</v>
      </c>
      <c r="AF133" s="11">
        <f t="shared" si="15"/>
        <v>6000</v>
      </c>
      <c r="AG133" s="11">
        <f t="shared" si="16"/>
        <v>86.6</v>
      </c>
      <c r="AH133" s="11">
        <f t="shared" si="17"/>
        <v>63.9</v>
      </c>
      <c r="AJ133" s="40" t="s">
        <v>32</v>
      </c>
      <c r="AK133">
        <v>146</v>
      </c>
      <c r="AL133">
        <v>120</v>
      </c>
      <c r="AM133">
        <v>16925</v>
      </c>
      <c r="AN133">
        <v>5500</v>
      </c>
      <c r="AO133">
        <v>103.3</v>
      </c>
      <c r="AP133">
        <v>67.2</v>
      </c>
      <c r="AY133" s="40" t="s">
        <v>11</v>
      </c>
      <c r="AZ133" s="2">
        <v>76</v>
      </c>
    </row>
    <row r="134" spans="1:52" ht="15.75" x14ac:dyDescent="0.25">
      <c r="A134" s="4" t="s">
        <v>10</v>
      </c>
      <c r="B134" s="2">
        <v>122</v>
      </c>
      <c r="C134" s="5" t="s">
        <v>43</v>
      </c>
      <c r="D134" s="1" t="s">
        <v>1</v>
      </c>
      <c r="E134" s="5" t="s">
        <v>2</v>
      </c>
      <c r="F134" s="1" t="s">
        <v>8</v>
      </c>
      <c r="G134" s="5" t="s">
        <v>16</v>
      </c>
      <c r="H134" s="1" t="s">
        <v>17</v>
      </c>
      <c r="I134" s="5" t="s">
        <v>6</v>
      </c>
      <c r="J134" s="2">
        <v>94.5</v>
      </c>
      <c r="K134" s="4">
        <v>165.3</v>
      </c>
      <c r="L134" s="2">
        <v>63.8</v>
      </c>
      <c r="M134" s="4">
        <v>54.5</v>
      </c>
      <c r="N134" s="2">
        <v>1938</v>
      </c>
      <c r="O134" s="5" t="s">
        <v>18</v>
      </c>
      <c r="P134" s="1" t="s">
        <v>8</v>
      </c>
      <c r="Q134" s="4">
        <v>97</v>
      </c>
      <c r="R134" s="1" t="s">
        <v>28</v>
      </c>
      <c r="S134" s="4">
        <v>3.15</v>
      </c>
      <c r="T134" s="2">
        <v>3.29</v>
      </c>
      <c r="U134" s="4">
        <v>9.4</v>
      </c>
      <c r="V134" s="2">
        <v>69</v>
      </c>
      <c r="W134" s="4">
        <v>5200</v>
      </c>
      <c r="X134" s="2">
        <v>31</v>
      </c>
      <c r="Y134" s="4">
        <v>37</v>
      </c>
      <c r="Z134" s="2">
        <v>6849</v>
      </c>
      <c r="AC134" s="11">
        <f t="shared" si="12"/>
        <v>97</v>
      </c>
      <c r="AD134" s="11">
        <f t="shared" si="13"/>
        <v>69</v>
      </c>
      <c r="AE134" s="11">
        <f t="shared" si="14"/>
        <v>6849</v>
      </c>
      <c r="AF134" s="11">
        <f t="shared" si="15"/>
        <v>5200</v>
      </c>
      <c r="AG134" s="11">
        <f t="shared" si="16"/>
        <v>94.5</v>
      </c>
      <c r="AH134" s="11">
        <f t="shared" si="17"/>
        <v>63.8</v>
      </c>
      <c r="AJ134" s="40" t="s">
        <v>43</v>
      </c>
      <c r="AK134">
        <v>146</v>
      </c>
      <c r="AL134">
        <v>121</v>
      </c>
      <c r="AM134">
        <v>17199</v>
      </c>
      <c r="AN134">
        <v>5500</v>
      </c>
      <c r="AO134">
        <v>104.3</v>
      </c>
      <c r="AP134">
        <v>67.2</v>
      </c>
      <c r="AY134" s="40" t="s">
        <v>16</v>
      </c>
      <c r="AZ134" s="2">
        <v>69</v>
      </c>
    </row>
    <row r="135" spans="1:52" ht="15.75" x14ac:dyDescent="0.25">
      <c r="A135" s="4" t="s">
        <v>10</v>
      </c>
      <c r="B135" s="2">
        <v>104</v>
      </c>
      <c r="C135" s="5" t="s">
        <v>35</v>
      </c>
      <c r="D135" s="1" t="s">
        <v>1</v>
      </c>
      <c r="E135" s="5" t="s">
        <v>2</v>
      </c>
      <c r="F135" s="1" t="s">
        <v>3</v>
      </c>
      <c r="G135" s="5" t="s">
        <v>11</v>
      </c>
      <c r="H135" s="1" t="s">
        <v>17</v>
      </c>
      <c r="I135" s="5" t="s">
        <v>6</v>
      </c>
      <c r="J135" s="2">
        <v>93.1</v>
      </c>
      <c r="K135" s="4">
        <v>159.1</v>
      </c>
      <c r="L135" s="2">
        <v>64.2</v>
      </c>
      <c r="M135" s="4">
        <v>54.1</v>
      </c>
      <c r="N135" s="2">
        <v>1905</v>
      </c>
      <c r="O135" s="5" t="s">
        <v>18</v>
      </c>
      <c r="P135" s="1" t="s">
        <v>8</v>
      </c>
      <c r="Q135" s="4">
        <v>91</v>
      </c>
      <c r="R135" s="1" t="s">
        <v>28</v>
      </c>
      <c r="S135" s="4">
        <v>3.03</v>
      </c>
      <c r="T135" s="2">
        <v>3.15</v>
      </c>
      <c r="U135" s="4">
        <v>9</v>
      </c>
      <c r="V135" s="2">
        <v>68</v>
      </c>
      <c r="W135" s="4">
        <v>5000</v>
      </c>
      <c r="X135" s="2">
        <v>31</v>
      </c>
      <c r="Y135" s="4">
        <v>38</v>
      </c>
      <c r="Z135" s="2">
        <v>6795</v>
      </c>
      <c r="AC135" s="11">
        <f t="shared" si="12"/>
        <v>91</v>
      </c>
      <c r="AD135" s="11">
        <f t="shared" si="13"/>
        <v>68</v>
      </c>
      <c r="AE135" s="11">
        <f t="shared" si="14"/>
        <v>6795</v>
      </c>
      <c r="AF135" s="11">
        <f t="shared" si="15"/>
        <v>5000</v>
      </c>
      <c r="AG135" s="11">
        <f t="shared" si="16"/>
        <v>93.1</v>
      </c>
      <c r="AH135" s="11">
        <f t="shared" si="17"/>
        <v>64.2</v>
      </c>
      <c r="AJ135" s="40" t="s">
        <v>35</v>
      </c>
      <c r="AK135">
        <v>146</v>
      </c>
      <c r="AL135">
        <v>121</v>
      </c>
      <c r="AM135">
        <v>17450</v>
      </c>
      <c r="AN135">
        <v>5500</v>
      </c>
      <c r="AO135">
        <v>104.3</v>
      </c>
      <c r="AP135">
        <v>67.7</v>
      </c>
      <c r="AY135" s="40" t="s">
        <v>11</v>
      </c>
      <c r="AZ135" s="2">
        <v>68</v>
      </c>
    </row>
    <row r="136" spans="1:52" ht="15.75" x14ac:dyDescent="0.25">
      <c r="A136" s="4" t="s">
        <v>10</v>
      </c>
      <c r="B136" s="2">
        <v>113</v>
      </c>
      <c r="C136" s="5" t="s">
        <v>35</v>
      </c>
      <c r="D136" s="1" t="s">
        <v>1</v>
      </c>
      <c r="E136" s="5" t="s">
        <v>2</v>
      </c>
      <c r="F136" s="1" t="s">
        <v>8</v>
      </c>
      <c r="G136" s="5" t="s">
        <v>16</v>
      </c>
      <c r="H136" s="1" t="s">
        <v>17</v>
      </c>
      <c r="I136" s="5" t="s">
        <v>6</v>
      </c>
      <c r="J136" s="2">
        <v>93.1</v>
      </c>
      <c r="K136" s="4">
        <v>166.8</v>
      </c>
      <c r="L136" s="2">
        <v>64.2</v>
      </c>
      <c r="M136" s="4">
        <v>54.1</v>
      </c>
      <c r="N136" s="2">
        <v>1945</v>
      </c>
      <c r="O136" s="5" t="s">
        <v>18</v>
      </c>
      <c r="P136" s="1" t="s">
        <v>8</v>
      </c>
      <c r="Q136" s="4">
        <v>91</v>
      </c>
      <c r="R136" s="1" t="s">
        <v>28</v>
      </c>
      <c r="S136" s="4">
        <v>3.03</v>
      </c>
      <c r="T136" s="2">
        <v>3.15</v>
      </c>
      <c r="U136" s="4">
        <v>9</v>
      </c>
      <c r="V136" s="2">
        <v>68</v>
      </c>
      <c r="W136" s="4">
        <v>5000</v>
      </c>
      <c r="X136" s="2">
        <v>31</v>
      </c>
      <c r="Y136" s="4">
        <v>38</v>
      </c>
      <c r="Z136" s="2">
        <v>6695</v>
      </c>
      <c r="AC136" s="11">
        <f t="shared" si="12"/>
        <v>91</v>
      </c>
      <c r="AD136" s="11">
        <f t="shared" si="13"/>
        <v>68</v>
      </c>
      <c r="AE136" s="11">
        <f t="shared" si="14"/>
        <v>6695</v>
      </c>
      <c r="AF136" s="11">
        <f t="shared" si="15"/>
        <v>5000</v>
      </c>
      <c r="AG136" s="11">
        <f t="shared" si="16"/>
        <v>93.1</v>
      </c>
      <c r="AH136" s="11">
        <f t="shared" si="17"/>
        <v>64.2</v>
      </c>
      <c r="AJ136" s="40" t="s">
        <v>35</v>
      </c>
      <c r="AK136">
        <v>146</v>
      </c>
      <c r="AL136">
        <v>123</v>
      </c>
      <c r="AM136">
        <v>17669</v>
      </c>
      <c r="AN136">
        <v>5500</v>
      </c>
      <c r="AO136">
        <v>104.3</v>
      </c>
      <c r="AP136">
        <v>67.7</v>
      </c>
      <c r="AY136" s="40" t="s">
        <v>16</v>
      </c>
      <c r="AZ136" s="2">
        <v>68</v>
      </c>
    </row>
    <row r="137" spans="1:52" ht="15.75" x14ac:dyDescent="0.25">
      <c r="A137" s="4" t="s">
        <v>10</v>
      </c>
      <c r="B137" s="2">
        <v>148</v>
      </c>
      <c r="C137" s="5" t="s">
        <v>29</v>
      </c>
      <c r="D137" s="1" t="s">
        <v>1</v>
      </c>
      <c r="E137" s="5" t="s">
        <v>2</v>
      </c>
      <c r="F137" s="1" t="s">
        <v>8</v>
      </c>
      <c r="G137" s="5" t="s">
        <v>16</v>
      </c>
      <c r="H137" s="1" t="s">
        <v>17</v>
      </c>
      <c r="I137" s="5" t="s">
        <v>6</v>
      </c>
      <c r="J137" s="2">
        <v>93.7</v>
      </c>
      <c r="K137" s="4">
        <v>157.30000000000001</v>
      </c>
      <c r="L137" s="2">
        <v>63.8</v>
      </c>
      <c r="M137" s="4">
        <v>50.6</v>
      </c>
      <c r="N137" s="2">
        <v>1989</v>
      </c>
      <c r="O137" s="5" t="s">
        <v>18</v>
      </c>
      <c r="P137" s="1" t="s">
        <v>8</v>
      </c>
      <c r="Q137" s="4">
        <v>90</v>
      </c>
      <c r="R137" s="1" t="s">
        <v>28</v>
      </c>
      <c r="S137" s="4">
        <v>2.97</v>
      </c>
      <c r="T137" s="2">
        <v>3.23</v>
      </c>
      <c r="U137" s="4">
        <v>9.4</v>
      </c>
      <c r="V137" s="2">
        <v>68</v>
      </c>
      <c r="W137" s="4">
        <v>5500</v>
      </c>
      <c r="X137" s="2">
        <v>31</v>
      </c>
      <c r="Y137" s="4">
        <v>38</v>
      </c>
      <c r="Z137" s="2">
        <v>6692</v>
      </c>
      <c r="AC137" s="11">
        <f t="shared" si="12"/>
        <v>90</v>
      </c>
      <c r="AD137" s="11">
        <f t="shared" si="13"/>
        <v>68</v>
      </c>
      <c r="AE137" s="11">
        <f t="shared" si="14"/>
        <v>6692</v>
      </c>
      <c r="AF137" s="11">
        <f t="shared" si="15"/>
        <v>5500</v>
      </c>
      <c r="AG137" s="11">
        <f t="shared" si="16"/>
        <v>93.7</v>
      </c>
      <c r="AH137" s="11">
        <f t="shared" si="17"/>
        <v>63.8</v>
      </c>
      <c r="AJ137" s="40" t="s">
        <v>29</v>
      </c>
      <c r="AK137">
        <v>146</v>
      </c>
      <c r="AL137">
        <v>123</v>
      </c>
      <c r="AM137">
        <v>17710</v>
      </c>
      <c r="AN137">
        <v>5500</v>
      </c>
      <c r="AO137">
        <v>104.3</v>
      </c>
      <c r="AP137">
        <v>67.900000000000006</v>
      </c>
      <c r="AY137" s="40" t="s">
        <v>16</v>
      </c>
      <c r="AZ137" s="2">
        <v>68</v>
      </c>
    </row>
    <row r="138" spans="1:52" ht="15.75" x14ac:dyDescent="0.25">
      <c r="A138" s="4" t="s">
        <v>10</v>
      </c>
      <c r="B138" s="2">
        <v>154</v>
      </c>
      <c r="C138" s="5" t="s">
        <v>45</v>
      </c>
      <c r="D138" s="1" t="s">
        <v>1</v>
      </c>
      <c r="E138" s="5" t="s">
        <v>2</v>
      </c>
      <c r="F138" s="1" t="s">
        <v>8</v>
      </c>
      <c r="G138" s="5" t="s">
        <v>16</v>
      </c>
      <c r="H138" s="1" t="s">
        <v>17</v>
      </c>
      <c r="I138" s="5" t="s">
        <v>6</v>
      </c>
      <c r="J138" s="2">
        <v>93.7</v>
      </c>
      <c r="K138" s="4">
        <v>167.3</v>
      </c>
      <c r="L138" s="2">
        <v>63.8</v>
      </c>
      <c r="M138" s="4">
        <v>50.8</v>
      </c>
      <c r="N138" s="2">
        <v>1989</v>
      </c>
      <c r="O138" s="5" t="s">
        <v>18</v>
      </c>
      <c r="P138" s="1" t="s">
        <v>8</v>
      </c>
      <c r="Q138" s="4">
        <v>90</v>
      </c>
      <c r="R138" s="1" t="s">
        <v>28</v>
      </c>
      <c r="S138" s="4">
        <v>2.97</v>
      </c>
      <c r="T138" s="2">
        <v>3.23</v>
      </c>
      <c r="U138" s="4">
        <v>9.4</v>
      </c>
      <c r="V138" s="2">
        <v>68</v>
      </c>
      <c r="W138" s="4">
        <v>5500</v>
      </c>
      <c r="X138" s="2">
        <v>31</v>
      </c>
      <c r="Y138" s="4">
        <v>38</v>
      </c>
      <c r="Z138" s="2">
        <v>6692</v>
      </c>
      <c r="AC138" s="11">
        <f t="shared" si="12"/>
        <v>90</v>
      </c>
      <c r="AD138" s="11">
        <f t="shared" si="13"/>
        <v>68</v>
      </c>
      <c r="AE138" s="11">
        <f t="shared" si="14"/>
        <v>6692</v>
      </c>
      <c r="AF138" s="11">
        <f t="shared" si="15"/>
        <v>5500</v>
      </c>
      <c r="AG138" s="11">
        <f t="shared" si="16"/>
        <v>93.7</v>
      </c>
      <c r="AH138" s="11">
        <f t="shared" si="17"/>
        <v>63.8</v>
      </c>
      <c r="AJ138" s="40" t="s">
        <v>45</v>
      </c>
      <c r="AK138">
        <v>151</v>
      </c>
      <c r="AL138">
        <v>123</v>
      </c>
      <c r="AM138">
        <v>17950</v>
      </c>
      <c r="AN138">
        <v>5500</v>
      </c>
      <c r="AO138">
        <v>104.3</v>
      </c>
      <c r="AP138">
        <v>67.900000000000006</v>
      </c>
      <c r="AY138" s="40" t="s">
        <v>16</v>
      </c>
      <c r="AZ138" s="2">
        <v>68</v>
      </c>
    </row>
    <row r="139" spans="1:52" ht="15.75" x14ac:dyDescent="0.25">
      <c r="A139" s="4" t="s">
        <v>14</v>
      </c>
      <c r="B139" s="2">
        <v>161</v>
      </c>
      <c r="C139" s="5" t="s">
        <v>41</v>
      </c>
      <c r="D139" s="1" t="s">
        <v>1</v>
      </c>
      <c r="E139" s="5" t="s">
        <v>2</v>
      </c>
      <c r="F139" s="1" t="s">
        <v>3</v>
      </c>
      <c r="G139" s="5" t="s">
        <v>11</v>
      </c>
      <c r="H139" s="1" t="s">
        <v>17</v>
      </c>
      <c r="I139" s="5" t="s">
        <v>6</v>
      </c>
      <c r="J139" s="2">
        <v>93.7</v>
      </c>
      <c r="K139" s="4">
        <v>157.30000000000001</v>
      </c>
      <c r="L139" s="2">
        <v>64.400000000000006</v>
      </c>
      <c r="M139" s="4">
        <v>50.8</v>
      </c>
      <c r="N139" s="2">
        <v>2004</v>
      </c>
      <c r="O139" s="5" t="s">
        <v>18</v>
      </c>
      <c r="P139" s="1" t="s">
        <v>8</v>
      </c>
      <c r="Q139" s="4">
        <v>92</v>
      </c>
      <c r="R139" s="1" t="s">
        <v>28</v>
      </c>
      <c r="S139" s="4">
        <v>2.97</v>
      </c>
      <c r="T139" s="2">
        <v>3.23</v>
      </c>
      <c r="U139" s="4">
        <v>9.4</v>
      </c>
      <c r="V139" s="2">
        <v>68</v>
      </c>
      <c r="W139" s="4">
        <v>5500</v>
      </c>
      <c r="X139" s="2">
        <v>31</v>
      </c>
      <c r="Y139" s="4">
        <v>38</v>
      </c>
      <c r="Z139" s="2">
        <v>6669</v>
      </c>
      <c r="AC139" s="11">
        <f t="shared" si="12"/>
        <v>92</v>
      </c>
      <c r="AD139" s="11">
        <f t="shared" si="13"/>
        <v>68</v>
      </c>
      <c r="AE139" s="11">
        <f t="shared" si="14"/>
        <v>6669</v>
      </c>
      <c r="AF139" s="11">
        <f t="shared" si="15"/>
        <v>5500</v>
      </c>
      <c r="AG139" s="11">
        <f t="shared" si="16"/>
        <v>93.7</v>
      </c>
      <c r="AH139" s="11">
        <f t="shared" si="17"/>
        <v>64.400000000000006</v>
      </c>
      <c r="AJ139" s="40" t="s">
        <v>41</v>
      </c>
      <c r="AK139">
        <v>152</v>
      </c>
      <c r="AL139">
        <v>123</v>
      </c>
      <c r="AM139">
        <v>18150</v>
      </c>
      <c r="AN139">
        <v>5500</v>
      </c>
      <c r="AO139">
        <v>104.3</v>
      </c>
      <c r="AP139">
        <v>67.900000000000006</v>
      </c>
      <c r="AY139" s="40" t="s">
        <v>11</v>
      </c>
      <c r="AZ139" s="2">
        <v>68</v>
      </c>
    </row>
    <row r="140" spans="1:52" ht="15.75" x14ac:dyDescent="0.25">
      <c r="A140" s="4" t="s">
        <v>10</v>
      </c>
      <c r="B140" s="2">
        <v>128</v>
      </c>
      <c r="C140" s="5" t="s">
        <v>43</v>
      </c>
      <c r="D140" s="1" t="s">
        <v>1</v>
      </c>
      <c r="E140" s="5" t="s">
        <v>2</v>
      </c>
      <c r="F140" s="1" t="s">
        <v>3</v>
      </c>
      <c r="G140" s="5" t="s">
        <v>16</v>
      </c>
      <c r="H140" s="1" t="s">
        <v>17</v>
      </c>
      <c r="I140" s="5" t="s">
        <v>6</v>
      </c>
      <c r="J140" s="2">
        <v>94.5</v>
      </c>
      <c r="K140" s="4">
        <v>165.3</v>
      </c>
      <c r="L140" s="2">
        <v>63.8</v>
      </c>
      <c r="M140" s="4">
        <v>54.5</v>
      </c>
      <c r="N140" s="2">
        <v>1918</v>
      </c>
      <c r="O140" s="5" t="s">
        <v>18</v>
      </c>
      <c r="P140" s="1" t="s">
        <v>8</v>
      </c>
      <c r="Q140" s="4">
        <v>97</v>
      </c>
      <c r="R140" s="1" t="s">
        <v>28</v>
      </c>
      <c r="S140" s="4">
        <v>3.15</v>
      </c>
      <c r="T140" s="2">
        <v>3.29</v>
      </c>
      <c r="U140" s="4">
        <v>9.4</v>
      </c>
      <c r="V140" s="2">
        <v>69</v>
      </c>
      <c r="W140" s="4">
        <v>5200</v>
      </c>
      <c r="X140" s="2">
        <v>31</v>
      </c>
      <c r="Y140" s="4">
        <v>37</v>
      </c>
      <c r="Z140" s="2">
        <v>6649</v>
      </c>
      <c r="AC140" s="11">
        <f t="shared" si="12"/>
        <v>97</v>
      </c>
      <c r="AD140" s="11">
        <f t="shared" si="13"/>
        <v>69</v>
      </c>
      <c r="AE140" s="11">
        <f t="shared" si="14"/>
        <v>6649</v>
      </c>
      <c r="AF140" s="11">
        <f t="shared" si="15"/>
        <v>5200</v>
      </c>
      <c r="AG140" s="11">
        <f t="shared" si="16"/>
        <v>94.5</v>
      </c>
      <c r="AH140" s="11">
        <f t="shared" si="17"/>
        <v>63.8</v>
      </c>
      <c r="AJ140" s="40" t="s">
        <v>43</v>
      </c>
      <c r="AK140">
        <v>152</v>
      </c>
      <c r="AL140">
        <v>134</v>
      </c>
      <c r="AM140">
        <v>18150</v>
      </c>
      <c r="AN140">
        <v>5500</v>
      </c>
      <c r="AO140">
        <v>104.5</v>
      </c>
      <c r="AP140">
        <v>68.3</v>
      </c>
      <c r="AY140" s="40" t="s">
        <v>16</v>
      </c>
      <c r="AZ140" s="2">
        <v>69</v>
      </c>
    </row>
    <row r="141" spans="1:52" ht="15.75" x14ac:dyDescent="0.25">
      <c r="A141" s="4" t="s">
        <v>23</v>
      </c>
      <c r="B141" s="2">
        <v>81</v>
      </c>
      <c r="C141" s="5" t="s">
        <v>25</v>
      </c>
      <c r="D141" s="1" t="s">
        <v>1</v>
      </c>
      <c r="E141" s="5" t="s">
        <v>2</v>
      </c>
      <c r="F141" s="1" t="s">
        <v>8</v>
      </c>
      <c r="G141" s="5" t="s">
        <v>16</v>
      </c>
      <c r="H141" s="1" t="s">
        <v>17</v>
      </c>
      <c r="I141" s="5" t="s">
        <v>6</v>
      </c>
      <c r="J141" s="2">
        <v>94.5</v>
      </c>
      <c r="K141" s="4">
        <v>158.80000000000001</v>
      </c>
      <c r="L141" s="2">
        <v>63.6</v>
      </c>
      <c r="M141" s="4">
        <v>52</v>
      </c>
      <c r="N141" s="2">
        <v>1909</v>
      </c>
      <c r="O141" s="5" t="s">
        <v>18</v>
      </c>
      <c r="P141" s="1" t="s">
        <v>8</v>
      </c>
      <c r="Q141" s="4">
        <v>90</v>
      </c>
      <c r="R141" s="1" t="s">
        <v>28</v>
      </c>
      <c r="S141" s="4">
        <v>3.03</v>
      </c>
      <c r="T141" s="2">
        <v>3.11</v>
      </c>
      <c r="U141" s="4">
        <v>9.6</v>
      </c>
      <c r="V141" s="2">
        <v>70</v>
      </c>
      <c r="W141" s="4">
        <v>5400</v>
      </c>
      <c r="X141" s="2">
        <v>38</v>
      </c>
      <c r="Y141" s="4">
        <v>43</v>
      </c>
      <c r="Z141" s="2">
        <v>6575</v>
      </c>
      <c r="AC141" s="11">
        <f t="shared" si="12"/>
        <v>90</v>
      </c>
      <c r="AD141" s="11">
        <f t="shared" si="13"/>
        <v>70</v>
      </c>
      <c r="AE141" s="11">
        <f t="shared" si="14"/>
        <v>6575</v>
      </c>
      <c r="AF141" s="11">
        <f t="shared" si="15"/>
        <v>5400</v>
      </c>
      <c r="AG141" s="11">
        <f t="shared" si="16"/>
        <v>94.5</v>
      </c>
      <c r="AH141" s="11">
        <f t="shared" si="17"/>
        <v>63.6</v>
      </c>
      <c r="AJ141" s="40" t="s">
        <v>25</v>
      </c>
      <c r="AK141">
        <v>152</v>
      </c>
      <c r="AL141">
        <v>140</v>
      </c>
      <c r="AM141">
        <v>18280</v>
      </c>
      <c r="AN141">
        <v>5500</v>
      </c>
      <c r="AO141">
        <v>104.9</v>
      </c>
      <c r="AP141">
        <v>68.3</v>
      </c>
      <c r="AY141" s="40" t="s">
        <v>16</v>
      </c>
      <c r="AZ141" s="2">
        <v>70</v>
      </c>
    </row>
    <row r="142" spans="1:52" ht="15.75" x14ac:dyDescent="0.25">
      <c r="A142" s="4" t="s">
        <v>10</v>
      </c>
      <c r="B142" s="2">
        <v>101</v>
      </c>
      <c r="C142" s="5" t="s">
        <v>32</v>
      </c>
      <c r="D142" s="1" t="s">
        <v>1</v>
      </c>
      <c r="E142" s="5" t="s">
        <v>2</v>
      </c>
      <c r="F142" s="1" t="s">
        <v>3</v>
      </c>
      <c r="G142" s="5" t="s">
        <v>11</v>
      </c>
      <c r="H142" s="1" t="s">
        <v>17</v>
      </c>
      <c r="I142" s="5" t="s">
        <v>6</v>
      </c>
      <c r="J142" s="2">
        <v>93.7</v>
      </c>
      <c r="K142" s="4">
        <v>150</v>
      </c>
      <c r="L142" s="2">
        <v>64</v>
      </c>
      <c r="M142" s="4">
        <v>52.6</v>
      </c>
      <c r="N142" s="2">
        <v>1940</v>
      </c>
      <c r="O142" s="5" t="s">
        <v>18</v>
      </c>
      <c r="P142" s="1" t="s">
        <v>8</v>
      </c>
      <c r="Q142" s="4">
        <v>92</v>
      </c>
      <c r="R142" s="1" t="s">
        <v>33</v>
      </c>
      <c r="S142" s="4">
        <v>2.91</v>
      </c>
      <c r="T142" s="2">
        <v>3.41</v>
      </c>
      <c r="U142" s="4">
        <v>9.1999999999999993</v>
      </c>
      <c r="V142" s="2">
        <v>76</v>
      </c>
      <c r="W142" s="4">
        <v>6000</v>
      </c>
      <c r="X142" s="2">
        <v>30</v>
      </c>
      <c r="Y142" s="4">
        <v>34</v>
      </c>
      <c r="Z142" s="2">
        <v>6529</v>
      </c>
      <c r="AC142" s="11">
        <f t="shared" si="12"/>
        <v>92</v>
      </c>
      <c r="AD142" s="11">
        <f t="shared" si="13"/>
        <v>76</v>
      </c>
      <c r="AE142" s="11">
        <f t="shared" si="14"/>
        <v>6529</v>
      </c>
      <c r="AF142" s="11">
        <f t="shared" si="15"/>
        <v>6000</v>
      </c>
      <c r="AG142" s="11">
        <f t="shared" si="16"/>
        <v>93.7</v>
      </c>
      <c r="AH142" s="11">
        <f t="shared" si="17"/>
        <v>64</v>
      </c>
      <c r="AJ142" s="40" t="s">
        <v>32</v>
      </c>
      <c r="AK142">
        <v>156</v>
      </c>
      <c r="AL142">
        <v>142</v>
      </c>
      <c r="AM142">
        <v>18399</v>
      </c>
      <c r="AN142">
        <v>5500</v>
      </c>
      <c r="AO142">
        <v>105.8</v>
      </c>
      <c r="AP142">
        <v>68.400000000000006</v>
      </c>
      <c r="AY142" s="40" t="s">
        <v>11</v>
      </c>
      <c r="AZ142" s="2">
        <v>76</v>
      </c>
    </row>
    <row r="143" spans="1:52" ht="15.75" x14ac:dyDescent="0.25">
      <c r="A143" s="4" t="s">
        <v>10</v>
      </c>
      <c r="B143" s="2">
        <v>74</v>
      </c>
      <c r="C143" s="5" t="s">
        <v>50</v>
      </c>
      <c r="D143" s="1" t="s">
        <v>1</v>
      </c>
      <c r="E143" s="5" t="s">
        <v>2</v>
      </c>
      <c r="F143" s="1" t="s">
        <v>8</v>
      </c>
      <c r="G143" s="5" t="s">
        <v>11</v>
      </c>
      <c r="H143" s="1" t="s">
        <v>17</v>
      </c>
      <c r="I143" s="5" t="s">
        <v>6</v>
      </c>
      <c r="J143" s="2">
        <v>95.7</v>
      </c>
      <c r="K143" s="4">
        <v>158.69999999999999</v>
      </c>
      <c r="L143" s="2">
        <v>63.6</v>
      </c>
      <c r="M143" s="4">
        <v>54.5</v>
      </c>
      <c r="N143" s="2">
        <v>2015</v>
      </c>
      <c r="O143" s="5" t="s">
        <v>18</v>
      </c>
      <c r="P143" s="1" t="s">
        <v>8</v>
      </c>
      <c r="Q143" s="4">
        <v>92</v>
      </c>
      <c r="R143" s="1" t="s">
        <v>28</v>
      </c>
      <c r="S143" s="4">
        <v>3.05</v>
      </c>
      <c r="T143" s="2">
        <v>3.03</v>
      </c>
      <c r="U143" s="4">
        <v>9</v>
      </c>
      <c r="V143" s="2">
        <v>62</v>
      </c>
      <c r="W143" s="4">
        <v>4800</v>
      </c>
      <c r="X143" s="2">
        <v>31</v>
      </c>
      <c r="Y143" s="4">
        <v>38</v>
      </c>
      <c r="Z143" s="2">
        <v>6488</v>
      </c>
      <c r="AC143" s="11">
        <f t="shared" si="12"/>
        <v>92</v>
      </c>
      <c r="AD143" s="11">
        <f t="shared" si="13"/>
        <v>62</v>
      </c>
      <c r="AE143" s="11">
        <f t="shared" si="14"/>
        <v>6488</v>
      </c>
      <c r="AF143" s="11">
        <f t="shared" si="15"/>
        <v>4800</v>
      </c>
      <c r="AG143" s="11">
        <f t="shared" si="16"/>
        <v>95.7</v>
      </c>
      <c r="AH143" s="11">
        <f t="shared" si="17"/>
        <v>63.6</v>
      </c>
      <c r="AJ143" s="40" t="s">
        <v>50</v>
      </c>
      <c r="AK143">
        <v>164</v>
      </c>
      <c r="AL143">
        <v>143</v>
      </c>
      <c r="AM143">
        <v>18420</v>
      </c>
      <c r="AN143">
        <v>5500</v>
      </c>
      <c r="AO143">
        <v>105.8</v>
      </c>
      <c r="AP143">
        <v>68.400000000000006</v>
      </c>
      <c r="AY143" s="40" t="s">
        <v>11</v>
      </c>
      <c r="AZ143" s="2">
        <v>62</v>
      </c>
    </row>
    <row r="144" spans="1:52" ht="15.75" x14ac:dyDescent="0.25">
      <c r="A144" s="4" t="s">
        <v>14</v>
      </c>
      <c r="B144" s="2">
        <v>137</v>
      </c>
      <c r="C144" s="5" t="s">
        <v>32</v>
      </c>
      <c r="D144" s="1" t="s">
        <v>1</v>
      </c>
      <c r="E144" s="5" t="s">
        <v>2</v>
      </c>
      <c r="F144" s="1" t="s">
        <v>3</v>
      </c>
      <c r="G144" s="5" t="s">
        <v>11</v>
      </c>
      <c r="H144" s="1" t="s">
        <v>17</v>
      </c>
      <c r="I144" s="5" t="s">
        <v>6</v>
      </c>
      <c r="J144" s="2">
        <v>86.6</v>
      </c>
      <c r="K144" s="4">
        <v>144.6</v>
      </c>
      <c r="L144" s="2">
        <v>63.9</v>
      </c>
      <c r="M144" s="4">
        <v>50.8</v>
      </c>
      <c r="N144" s="2">
        <v>1713</v>
      </c>
      <c r="O144" s="5" t="s">
        <v>18</v>
      </c>
      <c r="P144" s="1" t="s">
        <v>8</v>
      </c>
      <c r="Q144" s="4">
        <v>92</v>
      </c>
      <c r="R144" s="1" t="s">
        <v>33</v>
      </c>
      <c r="S144" s="4">
        <v>2.91</v>
      </c>
      <c r="T144" s="2">
        <v>3.41</v>
      </c>
      <c r="U144" s="4">
        <v>9.6</v>
      </c>
      <c r="V144" s="2">
        <v>58</v>
      </c>
      <c r="W144" s="4">
        <v>4800</v>
      </c>
      <c r="X144" s="2">
        <v>49</v>
      </c>
      <c r="Y144" s="4">
        <v>54</v>
      </c>
      <c r="Z144" s="2">
        <v>6479</v>
      </c>
      <c r="AC144" s="11">
        <f t="shared" si="12"/>
        <v>92</v>
      </c>
      <c r="AD144" s="11">
        <f t="shared" si="13"/>
        <v>58</v>
      </c>
      <c r="AE144" s="11">
        <f t="shared" si="14"/>
        <v>6479</v>
      </c>
      <c r="AF144" s="11">
        <f t="shared" si="15"/>
        <v>4800</v>
      </c>
      <c r="AG144" s="11">
        <f t="shared" si="16"/>
        <v>86.6</v>
      </c>
      <c r="AH144" s="11">
        <f t="shared" si="17"/>
        <v>63.9</v>
      </c>
      <c r="AJ144" s="40" t="s">
        <v>32</v>
      </c>
      <c r="AK144">
        <v>164</v>
      </c>
      <c r="AL144">
        <v>145</v>
      </c>
      <c r="AM144">
        <v>18620</v>
      </c>
      <c r="AN144">
        <v>5500</v>
      </c>
      <c r="AO144">
        <v>106.7</v>
      </c>
      <c r="AP144">
        <v>68.400000000000006</v>
      </c>
      <c r="AY144" s="40" t="s">
        <v>11</v>
      </c>
      <c r="AZ144" s="2">
        <v>58</v>
      </c>
    </row>
    <row r="145" spans="1:52" ht="15.75" x14ac:dyDescent="0.25">
      <c r="A145" s="4" t="s">
        <v>10</v>
      </c>
      <c r="B145" s="2">
        <v>118</v>
      </c>
      <c r="C145" s="5" t="s">
        <v>29</v>
      </c>
      <c r="D145" s="1" t="s">
        <v>1</v>
      </c>
      <c r="E145" s="5" t="s">
        <v>2</v>
      </c>
      <c r="F145" s="1" t="s">
        <v>3</v>
      </c>
      <c r="G145" s="5" t="s">
        <v>11</v>
      </c>
      <c r="H145" s="1" t="s">
        <v>17</v>
      </c>
      <c r="I145" s="5" t="s">
        <v>6</v>
      </c>
      <c r="J145" s="2">
        <v>93.7</v>
      </c>
      <c r="K145" s="4">
        <v>157.30000000000001</v>
      </c>
      <c r="L145" s="2">
        <v>63.8</v>
      </c>
      <c r="M145" s="4">
        <v>50.8</v>
      </c>
      <c r="N145" s="2">
        <v>1876</v>
      </c>
      <c r="O145" s="5" t="s">
        <v>18</v>
      </c>
      <c r="P145" s="1" t="s">
        <v>8</v>
      </c>
      <c r="Q145" s="4">
        <v>90</v>
      </c>
      <c r="R145" s="1" t="s">
        <v>28</v>
      </c>
      <c r="S145" s="4">
        <v>2.97</v>
      </c>
      <c r="T145" s="2">
        <v>3.23</v>
      </c>
      <c r="U145" s="4">
        <v>9.4</v>
      </c>
      <c r="V145" s="2">
        <v>68</v>
      </c>
      <c r="W145" s="4">
        <v>5500</v>
      </c>
      <c r="X145" s="2">
        <v>31</v>
      </c>
      <c r="Y145" s="4">
        <v>38</v>
      </c>
      <c r="Z145" s="2">
        <v>6377</v>
      </c>
      <c r="AC145" s="11">
        <f t="shared" si="12"/>
        <v>90</v>
      </c>
      <c r="AD145" s="11">
        <f t="shared" si="13"/>
        <v>68</v>
      </c>
      <c r="AE145" s="11">
        <f t="shared" si="14"/>
        <v>6377</v>
      </c>
      <c r="AF145" s="11">
        <f t="shared" si="15"/>
        <v>5500</v>
      </c>
      <c r="AG145" s="11">
        <f t="shared" si="16"/>
        <v>93.7</v>
      </c>
      <c r="AH145" s="11">
        <f t="shared" si="17"/>
        <v>63.8</v>
      </c>
      <c r="AJ145" s="40" t="s">
        <v>29</v>
      </c>
      <c r="AK145">
        <v>171</v>
      </c>
      <c r="AL145">
        <v>152</v>
      </c>
      <c r="AM145">
        <v>18950</v>
      </c>
      <c r="AN145">
        <v>5500</v>
      </c>
      <c r="AO145">
        <v>107.9</v>
      </c>
      <c r="AP145">
        <v>68.400000000000006</v>
      </c>
      <c r="AY145" s="40" t="s">
        <v>11</v>
      </c>
      <c r="AZ145" s="2">
        <v>68</v>
      </c>
    </row>
    <row r="146" spans="1:52" ht="15.75" x14ac:dyDescent="0.25">
      <c r="A146" s="4" t="s">
        <v>10</v>
      </c>
      <c r="B146" s="2">
        <v>87</v>
      </c>
      <c r="C146" s="5" t="s">
        <v>50</v>
      </c>
      <c r="D146" s="1" t="s">
        <v>1</v>
      </c>
      <c r="E146" s="5" t="s">
        <v>2</v>
      </c>
      <c r="F146" s="1" t="s">
        <v>3</v>
      </c>
      <c r="G146" s="5" t="s">
        <v>11</v>
      </c>
      <c r="H146" s="1" t="s">
        <v>17</v>
      </c>
      <c r="I146" s="5" t="s">
        <v>6</v>
      </c>
      <c r="J146" s="2">
        <v>95.7</v>
      </c>
      <c r="K146" s="4">
        <v>158.69999999999999</v>
      </c>
      <c r="L146" s="2">
        <v>63.6</v>
      </c>
      <c r="M146" s="4">
        <v>54.5</v>
      </c>
      <c r="N146" s="2">
        <v>2040</v>
      </c>
      <c r="O146" s="5" t="s">
        <v>18</v>
      </c>
      <c r="P146" s="1" t="s">
        <v>8</v>
      </c>
      <c r="Q146" s="4">
        <v>92</v>
      </c>
      <c r="R146" s="1" t="s">
        <v>28</v>
      </c>
      <c r="S146" s="4">
        <v>3.05</v>
      </c>
      <c r="T146" s="2">
        <v>3.03</v>
      </c>
      <c r="U146" s="4">
        <v>9</v>
      </c>
      <c r="V146" s="2">
        <v>62</v>
      </c>
      <c r="W146" s="4">
        <v>4800</v>
      </c>
      <c r="X146" s="2">
        <v>31</v>
      </c>
      <c r="Y146" s="4">
        <v>38</v>
      </c>
      <c r="Z146" s="2">
        <v>6338</v>
      </c>
      <c r="AC146" s="11">
        <f t="shared" si="12"/>
        <v>92</v>
      </c>
      <c r="AD146" s="11">
        <f t="shared" si="13"/>
        <v>62</v>
      </c>
      <c r="AE146" s="11">
        <f t="shared" si="14"/>
        <v>6338</v>
      </c>
      <c r="AF146" s="11">
        <f t="shared" si="15"/>
        <v>4800</v>
      </c>
      <c r="AG146" s="11">
        <f t="shared" si="16"/>
        <v>95.7</v>
      </c>
      <c r="AH146" s="11">
        <f t="shared" si="17"/>
        <v>63.6</v>
      </c>
      <c r="AJ146" s="40" t="s">
        <v>50</v>
      </c>
      <c r="AK146">
        <v>171</v>
      </c>
      <c r="AL146">
        <v>152</v>
      </c>
      <c r="AM146">
        <v>19045</v>
      </c>
      <c r="AN146">
        <v>5600</v>
      </c>
      <c r="AO146">
        <v>107.9</v>
      </c>
      <c r="AP146">
        <v>68.400000000000006</v>
      </c>
      <c r="AY146" s="40" t="s">
        <v>11</v>
      </c>
      <c r="AZ146" s="2">
        <v>62</v>
      </c>
    </row>
    <row r="147" spans="1:52" ht="15.75" x14ac:dyDescent="0.25">
      <c r="A147" s="4" t="s">
        <v>10</v>
      </c>
      <c r="B147" s="2">
        <v>98</v>
      </c>
      <c r="C147" s="5" t="s">
        <v>25</v>
      </c>
      <c r="D147" s="1" t="s">
        <v>1</v>
      </c>
      <c r="E147" s="5" t="s">
        <v>2</v>
      </c>
      <c r="F147" s="1" t="s">
        <v>3</v>
      </c>
      <c r="G147" s="5" t="s">
        <v>11</v>
      </c>
      <c r="H147" s="1" t="s">
        <v>17</v>
      </c>
      <c r="I147" s="5" t="s">
        <v>6</v>
      </c>
      <c r="J147" s="2">
        <v>94.5</v>
      </c>
      <c r="K147" s="4">
        <v>155.9</v>
      </c>
      <c r="L147" s="2">
        <v>63.6</v>
      </c>
      <c r="M147" s="4">
        <v>52</v>
      </c>
      <c r="N147" s="2">
        <v>1874</v>
      </c>
      <c r="O147" s="5" t="s">
        <v>18</v>
      </c>
      <c r="P147" s="1" t="s">
        <v>8</v>
      </c>
      <c r="Q147" s="4">
        <v>90</v>
      </c>
      <c r="R147" s="1" t="s">
        <v>28</v>
      </c>
      <c r="S147" s="4">
        <v>3.03</v>
      </c>
      <c r="T147" s="2">
        <v>3.11</v>
      </c>
      <c r="U147" s="4">
        <v>9.6</v>
      </c>
      <c r="V147" s="2">
        <v>70</v>
      </c>
      <c r="W147" s="4">
        <v>5400</v>
      </c>
      <c r="X147" s="2">
        <v>38</v>
      </c>
      <c r="Y147" s="4">
        <v>43</v>
      </c>
      <c r="Z147" s="2">
        <v>6295</v>
      </c>
      <c r="AC147" s="11">
        <f t="shared" si="12"/>
        <v>90</v>
      </c>
      <c r="AD147" s="11">
        <f t="shared" si="13"/>
        <v>70</v>
      </c>
      <c r="AE147" s="11">
        <f t="shared" si="14"/>
        <v>6295</v>
      </c>
      <c r="AF147" s="11">
        <f t="shared" si="15"/>
        <v>5400</v>
      </c>
      <c r="AG147" s="11">
        <f t="shared" si="16"/>
        <v>94.5</v>
      </c>
      <c r="AH147" s="11">
        <f t="shared" si="17"/>
        <v>63.6</v>
      </c>
      <c r="AJ147" s="40" t="s">
        <v>25</v>
      </c>
      <c r="AK147">
        <v>171</v>
      </c>
      <c r="AL147">
        <v>152</v>
      </c>
      <c r="AM147">
        <v>19699</v>
      </c>
      <c r="AN147">
        <v>5800</v>
      </c>
      <c r="AO147">
        <v>107.9</v>
      </c>
      <c r="AP147">
        <v>68.400000000000006</v>
      </c>
      <c r="AY147" s="40" t="s">
        <v>11</v>
      </c>
      <c r="AZ147" s="2">
        <v>70</v>
      </c>
    </row>
    <row r="148" spans="1:52" ht="15.75" x14ac:dyDescent="0.25">
      <c r="A148" s="4" t="s">
        <v>10</v>
      </c>
      <c r="B148" s="2">
        <v>148</v>
      </c>
      <c r="C148" s="5" t="s">
        <v>29</v>
      </c>
      <c r="D148" s="1" t="s">
        <v>1</v>
      </c>
      <c r="E148" s="5" t="s">
        <v>2</v>
      </c>
      <c r="F148" s="1" t="s">
        <v>8</v>
      </c>
      <c r="G148" s="5" t="s">
        <v>11</v>
      </c>
      <c r="H148" s="1" t="s">
        <v>17</v>
      </c>
      <c r="I148" s="5" t="s">
        <v>6</v>
      </c>
      <c r="J148" s="2">
        <v>93.7</v>
      </c>
      <c r="K148" s="4">
        <v>157.30000000000001</v>
      </c>
      <c r="L148" s="2">
        <v>63.8</v>
      </c>
      <c r="M148" s="4">
        <v>50.6</v>
      </c>
      <c r="N148" s="2">
        <v>1967</v>
      </c>
      <c r="O148" s="5" t="s">
        <v>18</v>
      </c>
      <c r="P148" s="1" t="s">
        <v>8</v>
      </c>
      <c r="Q148" s="4">
        <v>90</v>
      </c>
      <c r="R148" s="1" t="s">
        <v>28</v>
      </c>
      <c r="S148" s="4">
        <v>2.97</v>
      </c>
      <c r="T148" s="2">
        <v>3.23</v>
      </c>
      <c r="U148" s="4">
        <v>9.4</v>
      </c>
      <c r="V148" s="2">
        <v>68</v>
      </c>
      <c r="W148" s="4">
        <v>5500</v>
      </c>
      <c r="X148" s="2">
        <v>31</v>
      </c>
      <c r="Y148" s="4">
        <v>38</v>
      </c>
      <c r="Z148" s="2">
        <v>6229</v>
      </c>
      <c r="AC148" s="11">
        <f t="shared" si="12"/>
        <v>90</v>
      </c>
      <c r="AD148" s="11">
        <f t="shared" si="13"/>
        <v>68</v>
      </c>
      <c r="AE148" s="11">
        <f t="shared" si="14"/>
        <v>6229</v>
      </c>
      <c r="AF148" s="11">
        <f t="shared" si="15"/>
        <v>5500</v>
      </c>
      <c r="AG148" s="11">
        <f t="shared" si="16"/>
        <v>93.7</v>
      </c>
      <c r="AH148" s="11">
        <f t="shared" si="17"/>
        <v>63.8</v>
      </c>
      <c r="AJ148" s="40" t="s">
        <v>29</v>
      </c>
      <c r="AK148">
        <v>173</v>
      </c>
      <c r="AL148">
        <v>155</v>
      </c>
      <c r="AM148">
        <v>20970</v>
      </c>
      <c r="AN148">
        <v>5800</v>
      </c>
      <c r="AO148">
        <v>107.9</v>
      </c>
      <c r="AP148">
        <v>68.8</v>
      </c>
      <c r="AY148" s="40" t="s">
        <v>11</v>
      </c>
      <c r="AZ148" s="2">
        <v>68</v>
      </c>
    </row>
    <row r="149" spans="1:52" ht="15.75" x14ac:dyDescent="0.25">
      <c r="A149" s="4" t="s">
        <v>10</v>
      </c>
      <c r="B149" s="2">
        <v>154</v>
      </c>
      <c r="C149" s="5" t="s">
        <v>45</v>
      </c>
      <c r="D149" s="1" t="s">
        <v>1</v>
      </c>
      <c r="E149" s="5" t="s">
        <v>2</v>
      </c>
      <c r="F149" s="1" t="s">
        <v>8</v>
      </c>
      <c r="G149" s="5" t="s">
        <v>11</v>
      </c>
      <c r="H149" s="1" t="s">
        <v>17</v>
      </c>
      <c r="I149" s="5" t="s">
        <v>6</v>
      </c>
      <c r="J149" s="2">
        <v>93.7</v>
      </c>
      <c r="K149" s="4">
        <v>157.30000000000001</v>
      </c>
      <c r="L149" s="2">
        <v>63.8</v>
      </c>
      <c r="M149" s="4">
        <v>50.6</v>
      </c>
      <c r="N149" s="2">
        <v>1967</v>
      </c>
      <c r="O149" s="5" t="s">
        <v>18</v>
      </c>
      <c r="P149" s="1" t="s">
        <v>8</v>
      </c>
      <c r="Q149" s="4">
        <v>90</v>
      </c>
      <c r="R149" s="1" t="s">
        <v>28</v>
      </c>
      <c r="S149" s="4">
        <v>2.97</v>
      </c>
      <c r="T149" s="2">
        <v>3.23</v>
      </c>
      <c r="U149" s="4">
        <v>9.4</v>
      </c>
      <c r="V149" s="2">
        <v>68</v>
      </c>
      <c r="W149" s="4">
        <v>5500</v>
      </c>
      <c r="X149" s="2">
        <v>31</v>
      </c>
      <c r="Y149" s="4">
        <v>38</v>
      </c>
      <c r="Z149" s="2">
        <v>6229</v>
      </c>
      <c r="AC149" s="11">
        <f t="shared" si="12"/>
        <v>90</v>
      </c>
      <c r="AD149" s="11">
        <f t="shared" si="13"/>
        <v>68</v>
      </c>
      <c r="AE149" s="11">
        <f t="shared" si="14"/>
        <v>6229</v>
      </c>
      <c r="AF149" s="11">
        <f t="shared" si="15"/>
        <v>5500</v>
      </c>
      <c r="AG149" s="11">
        <f t="shared" si="16"/>
        <v>93.7</v>
      </c>
      <c r="AH149" s="11">
        <f t="shared" si="17"/>
        <v>63.8</v>
      </c>
      <c r="AJ149" s="40" t="s">
        <v>45</v>
      </c>
      <c r="AK149">
        <v>181</v>
      </c>
      <c r="AL149">
        <v>156</v>
      </c>
      <c r="AM149">
        <v>21105</v>
      </c>
      <c r="AN149">
        <v>5800</v>
      </c>
      <c r="AO149">
        <v>107.9</v>
      </c>
      <c r="AP149">
        <v>68.900000000000006</v>
      </c>
      <c r="AY149" s="40" t="s">
        <v>11</v>
      </c>
      <c r="AZ149" s="2">
        <v>68</v>
      </c>
    </row>
    <row r="150" spans="1:52" ht="15.75" x14ac:dyDescent="0.25">
      <c r="A150" s="4" t="s">
        <v>14</v>
      </c>
      <c r="B150" s="2">
        <v>161</v>
      </c>
      <c r="C150" s="5" t="s">
        <v>41</v>
      </c>
      <c r="D150" s="1" t="s">
        <v>1</v>
      </c>
      <c r="E150" s="5" t="s">
        <v>2</v>
      </c>
      <c r="F150" s="1" t="s">
        <v>3</v>
      </c>
      <c r="G150" s="5" t="s">
        <v>11</v>
      </c>
      <c r="H150" s="1" t="s">
        <v>17</v>
      </c>
      <c r="I150" s="5" t="s">
        <v>6</v>
      </c>
      <c r="J150" s="2">
        <v>93.7</v>
      </c>
      <c r="K150" s="4">
        <v>157.30000000000001</v>
      </c>
      <c r="L150" s="2">
        <v>64.400000000000006</v>
      </c>
      <c r="M150" s="4">
        <v>50.8</v>
      </c>
      <c r="N150" s="2">
        <v>1944</v>
      </c>
      <c r="O150" s="5" t="s">
        <v>18</v>
      </c>
      <c r="P150" s="1" t="s">
        <v>8</v>
      </c>
      <c r="Q150" s="4">
        <v>92</v>
      </c>
      <c r="R150" s="1" t="s">
        <v>28</v>
      </c>
      <c r="S150" s="4">
        <v>2.97</v>
      </c>
      <c r="T150" s="2">
        <v>3.23</v>
      </c>
      <c r="U150" s="4">
        <v>9.4</v>
      </c>
      <c r="V150" s="2">
        <v>68</v>
      </c>
      <c r="W150" s="4">
        <v>5500</v>
      </c>
      <c r="X150" s="2">
        <v>31</v>
      </c>
      <c r="Y150" s="4">
        <v>38</v>
      </c>
      <c r="Z150" s="2">
        <v>6189</v>
      </c>
      <c r="AC150" s="11">
        <f t="shared" si="12"/>
        <v>92</v>
      </c>
      <c r="AD150" s="11">
        <f t="shared" si="13"/>
        <v>68</v>
      </c>
      <c r="AE150" s="11">
        <f t="shared" si="14"/>
        <v>6189</v>
      </c>
      <c r="AF150" s="11">
        <f t="shared" si="15"/>
        <v>5500</v>
      </c>
      <c r="AG150" s="11">
        <f t="shared" si="16"/>
        <v>93.7</v>
      </c>
      <c r="AH150" s="11">
        <f t="shared" si="17"/>
        <v>64.400000000000006</v>
      </c>
      <c r="AJ150" s="40" t="s">
        <v>41</v>
      </c>
      <c r="AK150">
        <v>181</v>
      </c>
      <c r="AL150">
        <v>160</v>
      </c>
      <c r="AM150">
        <v>21485</v>
      </c>
      <c r="AN150">
        <v>5800</v>
      </c>
      <c r="AO150">
        <v>107.9</v>
      </c>
      <c r="AP150">
        <v>68.900000000000006</v>
      </c>
      <c r="AY150" s="40" t="s">
        <v>11</v>
      </c>
      <c r="AZ150" s="2">
        <v>68</v>
      </c>
    </row>
    <row r="151" spans="1:52" ht="15.75" x14ac:dyDescent="0.25">
      <c r="A151" s="4" t="s">
        <v>10</v>
      </c>
      <c r="B151" s="2">
        <v>104</v>
      </c>
      <c r="C151" s="5" t="s">
        <v>35</v>
      </c>
      <c r="D151" s="1" t="s">
        <v>1</v>
      </c>
      <c r="E151" s="5" t="s">
        <v>2</v>
      </c>
      <c r="F151" s="1" t="s">
        <v>3</v>
      </c>
      <c r="G151" s="5" t="s">
        <v>11</v>
      </c>
      <c r="H151" s="1" t="s">
        <v>17</v>
      </c>
      <c r="I151" s="5" t="s">
        <v>6</v>
      </c>
      <c r="J151" s="2">
        <v>93.1</v>
      </c>
      <c r="K151" s="4">
        <v>159.1</v>
      </c>
      <c r="L151" s="2">
        <v>64.2</v>
      </c>
      <c r="M151" s="4">
        <v>54.1</v>
      </c>
      <c r="N151" s="2">
        <v>1900</v>
      </c>
      <c r="O151" s="5" t="s">
        <v>18</v>
      </c>
      <c r="P151" s="1" t="s">
        <v>8</v>
      </c>
      <c r="Q151" s="4">
        <v>91</v>
      </c>
      <c r="R151" s="1" t="s">
        <v>28</v>
      </c>
      <c r="S151" s="4">
        <v>3.03</v>
      </c>
      <c r="T151" s="2">
        <v>3.15</v>
      </c>
      <c r="U151" s="4">
        <v>9</v>
      </c>
      <c r="V151" s="2">
        <v>68</v>
      </c>
      <c r="W151" s="4">
        <v>5000</v>
      </c>
      <c r="X151" s="2">
        <v>31</v>
      </c>
      <c r="Y151" s="4">
        <v>38</v>
      </c>
      <c r="Z151" s="2">
        <v>6095</v>
      </c>
      <c r="AC151" s="11">
        <f t="shared" si="12"/>
        <v>91</v>
      </c>
      <c r="AD151" s="11">
        <f t="shared" si="13"/>
        <v>68</v>
      </c>
      <c r="AE151" s="11">
        <f t="shared" si="14"/>
        <v>6095</v>
      </c>
      <c r="AF151" s="11">
        <f t="shared" si="15"/>
        <v>5000</v>
      </c>
      <c r="AG151" s="11">
        <f t="shared" si="16"/>
        <v>93.1</v>
      </c>
      <c r="AH151" s="11">
        <f t="shared" si="17"/>
        <v>64.2</v>
      </c>
      <c r="AJ151" s="40" t="s">
        <v>35</v>
      </c>
      <c r="AK151">
        <v>181</v>
      </c>
      <c r="AL151">
        <v>160</v>
      </c>
      <c r="AM151">
        <v>22018</v>
      </c>
      <c r="AN151">
        <v>5800</v>
      </c>
      <c r="AO151">
        <v>108</v>
      </c>
      <c r="AP151">
        <v>68.900000000000006</v>
      </c>
      <c r="AY151" s="40" t="s">
        <v>11</v>
      </c>
      <c r="AZ151" s="2">
        <v>68</v>
      </c>
    </row>
    <row r="152" spans="1:52" ht="15.75" x14ac:dyDescent="0.25">
      <c r="A152" s="4" t="s">
        <v>10</v>
      </c>
      <c r="B152" s="2">
        <v>118</v>
      </c>
      <c r="C152" s="5" t="s">
        <v>29</v>
      </c>
      <c r="D152" s="1" t="s">
        <v>1</v>
      </c>
      <c r="E152" s="5" t="s">
        <v>2</v>
      </c>
      <c r="F152" s="1" t="s">
        <v>3</v>
      </c>
      <c r="G152" s="5" t="s">
        <v>11</v>
      </c>
      <c r="H152" s="1" t="s">
        <v>17</v>
      </c>
      <c r="I152" s="5" t="s">
        <v>6</v>
      </c>
      <c r="J152" s="2">
        <v>93.7</v>
      </c>
      <c r="K152" s="4">
        <v>157.30000000000001</v>
      </c>
      <c r="L152" s="2">
        <v>63.8</v>
      </c>
      <c r="M152" s="4">
        <v>50.8</v>
      </c>
      <c r="N152" s="2">
        <v>1876</v>
      </c>
      <c r="O152" s="5" t="s">
        <v>18</v>
      </c>
      <c r="P152" s="1" t="s">
        <v>8</v>
      </c>
      <c r="Q152" s="4">
        <v>90</v>
      </c>
      <c r="R152" s="1" t="s">
        <v>28</v>
      </c>
      <c r="S152" s="4">
        <v>2.97</v>
      </c>
      <c r="T152" s="2">
        <v>3.23</v>
      </c>
      <c r="U152" s="4">
        <v>9.41</v>
      </c>
      <c r="V152" s="2">
        <v>68</v>
      </c>
      <c r="W152" s="4">
        <v>5500</v>
      </c>
      <c r="X152" s="2">
        <v>37</v>
      </c>
      <c r="Y152" s="4">
        <v>41</v>
      </c>
      <c r="Z152" s="2">
        <v>5572</v>
      </c>
      <c r="AC152" s="11">
        <f t="shared" si="12"/>
        <v>90</v>
      </c>
      <c r="AD152" s="11">
        <f t="shared" si="13"/>
        <v>68</v>
      </c>
      <c r="AE152" s="11">
        <f t="shared" si="14"/>
        <v>5572</v>
      </c>
      <c r="AF152" s="11">
        <f t="shared" si="15"/>
        <v>5500</v>
      </c>
      <c r="AG152" s="11">
        <f t="shared" si="16"/>
        <v>93.7</v>
      </c>
      <c r="AH152" s="11">
        <f t="shared" si="17"/>
        <v>63.8</v>
      </c>
      <c r="AJ152" s="40" t="s">
        <v>29</v>
      </c>
      <c r="AK152">
        <v>181</v>
      </c>
      <c r="AL152">
        <v>160</v>
      </c>
      <c r="AM152">
        <v>22470</v>
      </c>
      <c r="AN152">
        <v>5800</v>
      </c>
      <c r="AO152">
        <v>109.1</v>
      </c>
      <c r="AP152">
        <v>68.900000000000006</v>
      </c>
      <c r="AY152" s="40" t="s">
        <v>11</v>
      </c>
      <c r="AZ152" s="2">
        <v>68</v>
      </c>
    </row>
    <row r="153" spans="1:52" ht="15.75" x14ac:dyDescent="0.25">
      <c r="A153" s="4" t="s">
        <v>10</v>
      </c>
      <c r="B153" s="2">
        <v>119</v>
      </c>
      <c r="C153" s="5" t="s">
        <v>45</v>
      </c>
      <c r="D153" s="1" t="s">
        <v>1</v>
      </c>
      <c r="E153" s="5" t="s">
        <v>2</v>
      </c>
      <c r="F153" s="1" t="s">
        <v>3</v>
      </c>
      <c r="G153" s="5" t="s">
        <v>11</v>
      </c>
      <c r="H153" s="1" t="s">
        <v>17</v>
      </c>
      <c r="I153" s="5" t="s">
        <v>6</v>
      </c>
      <c r="J153" s="2">
        <v>93.7</v>
      </c>
      <c r="K153" s="4">
        <v>157.30000000000001</v>
      </c>
      <c r="L153" s="2">
        <v>63.8</v>
      </c>
      <c r="M153" s="4">
        <v>50.8</v>
      </c>
      <c r="N153" s="2">
        <v>1918</v>
      </c>
      <c r="O153" s="5" t="s">
        <v>18</v>
      </c>
      <c r="P153" s="1" t="s">
        <v>8</v>
      </c>
      <c r="Q153" s="4">
        <v>90</v>
      </c>
      <c r="R153" s="1" t="s">
        <v>28</v>
      </c>
      <c r="S153" s="4">
        <v>2.97</v>
      </c>
      <c r="T153" s="2">
        <v>3.23</v>
      </c>
      <c r="U153" s="4">
        <v>9.4</v>
      </c>
      <c r="V153" s="2">
        <v>68</v>
      </c>
      <c r="W153" s="4">
        <v>5500</v>
      </c>
      <c r="X153" s="2">
        <v>37</v>
      </c>
      <c r="Y153" s="4">
        <v>41</v>
      </c>
      <c r="Z153" s="2">
        <v>5572</v>
      </c>
      <c r="AC153" s="11">
        <f t="shared" si="12"/>
        <v>90</v>
      </c>
      <c r="AD153" s="11">
        <f t="shared" si="13"/>
        <v>68</v>
      </c>
      <c r="AE153" s="11">
        <f t="shared" si="14"/>
        <v>5572</v>
      </c>
      <c r="AF153" s="11">
        <f t="shared" si="15"/>
        <v>5500</v>
      </c>
      <c r="AG153" s="11">
        <f t="shared" si="16"/>
        <v>93.7</v>
      </c>
      <c r="AH153" s="11">
        <f t="shared" si="17"/>
        <v>63.8</v>
      </c>
      <c r="AJ153" s="40" t="s">
        <v>45</v>
      </c>
      <c r="AK153">
        <v>181</v>
      </c>
      <c r="AL153">
        <v>160</v>
      </c>
      <c r="AM153">
        <v>22625</v>
      </c>
      <c r="AN153">
        <v>5800</v>
      </c>
      <c r="AO153">
        <v>109.1</v>
      </c>
      <c r="AP153">
        <v>69.599999999999994</v>
      </c>
      <c r="AY153" s="40" t="s">
        <v>11</v>
      </c>
      <c r="AZ153" s="2">
        <v>68</v>
      </c>
    </row>
    <row r="154" spans="1:52" ht="15.75" x14ac:dyDescent="0.25">
      <c r="A154" s="4" t="s">
        <v>10</v>
      </c>
      <c r="B154" s="2">
        <v>128</v>
      </c>
      <c r="C154" s="5" t="s">
        <v>43</v>
      </c>
      <c r="D154" s="1" t="s">
        <v>1</v>
      </c>
      <c r="E154" s="5" t="s">
        <v>2</v>
      </c>
      <c r="F154" s="1" t="s">
        <v>3</v>
      </c>
      <c r="G154" s="5" t="s">
        <v>16</v>
      </c>
      <c r="H154" s="1" t="s">
        <v>17</v>
      </c>
      <c r="I154" s="5" t="s">
        <v>6</v>
      </c>
      <c r="J154" s="2">
        <v>94.5</v>
      </c>
      <c r="K154" s="4">
        <v>165.3</v>
      </c>
      <c r="L154" s="2">
        <v>63.8</v>
      </c>
      <c r="M154" s="4">
        <v>54.5</v>
      </c>
      <c r="N154" s="2">
        <v>1889</v>
      </c>
      <c r="O154" s="5" t="s">
        <v>18</v>
      </c>
      <c r="P154" s="1" t="s">
        <v>8</v>
      </c>
      <c r="Q154" s="4">
        <v>97</v>
      </c>
      <c r="R154" s="1" t="s">
        <v>28</v>
      </c>
      <c r="S154" s="4">
        <v>3.15</v>
      </c>
      <c r="T154" s="2">
        <v>3.29</v>
      </c>
      <c r="U154" s="4">
        <v>9.4</v>
      </c>
      <c r="V154" s="2">
        <v>69</v>
      </c>
      <c r="W154" s="4">
        <v>5200</v>
      </c>
      <c r="X154" s="2">
        <v>31</v>
      </c>
      <c r="Y154" s="4">
        <v>37</v>
      </c>
      <c r="Z154" s="2">
        <v>5499</v>
      </c>
      <c r="AC154" s="11">
        <f t="shared" si="12"/>
        <v>97</v>
      </c>
      <c r="AD154" s="11">
        <f t="shared" si="13"/>
        <v>69</v>
      </c>
      <c r="AE154" s="11">
        <f t="shared" si="14"/>
        <v>5499</v>
      </c>
      <c r="AF154" s="11">
        <f t="shared" si="15"/>
        <v>5200</v>
      </c>
      <c r="AG154" s="11">
        <f t="shared" si="16"/>
        <v>94.5</v>
      </c>
      <c r="AH154" s="11">
        <f t="shared" si="17"/>
        <v>63.8</v>
      </c>
      <c r="AJ154" s="40" t="s">
        <v>43</v>
      </c>
      <c r="AK154">
        <v>181</v>
      </c>
      <c r="AL154">
        <v>160</v>
      </c>
      <c r="AM154">
        <v>23875</v>
      </c>
      <c r="AN154">
        <v>6000</v>
      </c>
      <c r="AO154">
        <v>109.1</v>
      </c>
      <c r="AP154">
        <v>70.3</v>
      </c>
      <c r="AY154" s="40" t="s">
        <v>16</v>
      </c>
      <c r="AZ154" s="2">
        <v>69</v>
      </c>
    </row>
    <row r="155" spans="1:52" ht="15.75" x14ac:dyDescent="0.25">
      <c r="A155" s="4" t="s">
        <v>10</v>
      </c>
      <c r="B155" s="2">
        <v>101</v>
      </c>
      <c r="C155" s="5" t="s">
        <v>32</v>
      </c>
      <c r="D155" s="1" t="s">
        <v>1</v>
      </c>
      <c r="E155" s="5" t="s">
        <v>2</v>
      </c>
      <c r="F155" s="1" t="s">
        <v>3</v>
      </c>
      <c r="G155" s="5" t="s">
        <v>11</v>
      </c>
      <c r="H155" s="1" t="s">
        <v>17</v>
      </c>
      <c r="I155" s="5" t="s">
        <v>6</v>
      </c>
      <c r="J155" s="2">
        <v>93.7</v>
      </c>
      <c r="K155" s="4">
        <v>150</v>
      </c>
      <c r="L155" s="2">
        <v>64</v>
      </c>
      <c r="M155" s="4">
        <v>52.6</v>
      </c>
      <c r="N155" s="2">
        <v>1837</v>
      </c>
      <c r="O155" s="5" t="s">
        <v>18</v>
      </c>
      <c r="P155" s="1" t="s">
        <v>8</v>
      </c>
      <c r="Q155" s="4">
        <v>79</v>
      </c>
      <c r="R155" s="1" t="s">
        <v>33</v>
      </c>
      <c r="S155" s="4">
        <v>2.91</v>
      </c>
      <c r="T155" s="2">
        <v>3.07</v>
      </c>
      <c r="U155" s="4">
        <v>10.1</v>
      </c>
      <c r="V155" s="2">
        <v>60</v>
      </c>
      <c r="W155" s="4">
        <v>5500</v>
      </c>
      <c r="X155" s="2">
        <v>38</v>
      </c>
      <c r="Y155" s="4">
        <v>42</v>
      </c>
      <c r="Z155" s="2">
        <v>5399</v>
      </c>
      <c r="AC155" s="11">
        <f t="shared" si="12"/>
        <v>79</v>
      </c>
      <c r="AD155" s="11">
        <f t="shared" si="13"/>
        <v>60</v>
      </c>
      <c r="AE155" s="11">
        <f t="shared" si="14"/>
        <v>5399</v>
      </c>
      <c r="AF155" s="11">
        <f t="shared" si="15"/>
        <v>5500</v>
      </c>
      <c r="AG155" s="11">
        <f t="shared" si="16"/>
        <v>93.7</v>
      </c>
      <c r="AH155" s="11">
        <f t="shared" si="17"/>
        <v>64</v>
      </c>
      <c r="AJ155" s="40" t="s">
        <v>32</v>
      </c>
      <c r="AK155">
        <v>183</v>
      </c>
      <c r="AL155">
        <v>161</v>
      </c>
      <c r="AM155">
        <v>25552</v>
      </c>
      <c r="AN155">
        <v>6000</v>
      </c>
      <c r="AO155">
        <v>109.1</v>
      </c>
      <c r="AP155">
        <v>70.3</v>
      </c>
      <c r="AY155" s="40" t="s">
        <v>11</v>
      </c>
      <c r="AZ155" s="2">
        <v>60</v>
      </c>
    </row>
    <row r="156" spans="1:52" ht="15.75" x14ac:dyDescent="0.25">
      <c r="A156" s="4" t="s">
        <v>14</v>
      </c>
      <c r="B156" s="2">
        <v>161</v>
      </c>
      <c r="C156" s="5" t="s">
        <v>41</v>
      </c>
      <c r="D156" s="1" t="s">
        <v>1</v>
      </c>
      <c r="E156" s="5" t="s">
        <v>2</v>
      </c>
      <c r="F156" s="1" t="s">
        <v>3</v>
      </c>
      <c r="G156" s="5" t="s">
        <v>11</v>
      </c>
      <c r="H156" s="1" t="s">
        <v>17</v>
      </c>
      <c r="I156" s="5" t="s">
        <v>6</v>
      </c>
      <c r="J156" s="2">
        <v>93.7</v>
      </c>
      <c r="K156" s="4">
        <v>157.30000000000001</v>
      </c>
      <c r="L156" s="2">
        <v>64.400000000000006</v>
      </c>
      <c r="M156" s="4">
        <v>50.8</v>
      </c>
      <c r="N156" s="2">
        <v>1918</v>
      </c>
      <c r="O156" s="5" t="s">
        <v>18</v>
      </c>
      <c r="P156" s="1" t="s">
        <v>8</v>
      </c>
      <c r="Q156" s="4">
        <v>92</v>
      </c>
      <c r="R156" s="1" t="s">
        <v>28</v>
      </c>
      <c r="S156" s="4">
        <v>2.97</v>
      </c>
      <c r="T156" s="2">
        <v>3.23</v>
      </c>
      <c r="U156" s="4">
        <v>9.4</v>
      </c>
      <c r="V156" s="2">
        <v>68</v>
      </c>
      <c r="W156" s="4">
        <v>5500</v>
      </c>
      <c r="X156" s="2">
        <v>37</v>
      </c>
      <c r="Y156" s="4">
        <v>41</v>
      </c>
      <c r="Z156" s="2">
        <v>5389</v>
      </c>
      <c r="AC156" s="11">
        <f t="shared" si="12"/>
        <v>92</v>
      </c>
      <c r="AD156" s="11">
        <f t="shared" si="13"/>
        <v>68</v>
      </c>
      <c r="AE156" s="11">
        <f t="shared" si="14"/>
        <v>5389</v>
      </c>
      <c r="AF156" s="11">
        <f t="shared" si="15"/>
        <v>5500</v>
      </c>
      <c r="AG156" s="11">
        <f t="shared" si="16"/>
        <v>93.7</v>
      </c>
      <c r="AH156" s="11">
        <f t="shared" si="17"/>
        <v>64.400000000000006</v>
      </c>
      <c r="AJ156" s="40" t="s">
        <v>41</v>
      </c>
      <c r="AK156">
        <v>183</v>
      </c>
      <c r="AL156">
        <v>161</v>
      </c>
      <c r="AM156">
        <v>28176</v>
      </c>
      <c r="AN156">
        <v>6000</v>
      </c>
      <c r="AO156">
        <v>109.1</v>
      </c>
      <c r="AP156">
        <v>70.3</v>
      </c>
      <c r="AY156" s="40" t="s">
        <v>11</v>
      </c>
      <c r="AZ156" s="2">
        <v>68</v>
      </c>
    </row>
    <row r="157" spans="1:52" ht="15.75" x14ac:dyDescent="0.25">
      <c r="A157" s="4" t="s">
        <v>10</v>
      </c>
      <c r="B157" s="2">
        <v>87</v>
      </c>
      <c r="C157" s="5" t="s">
        <v>50</v>
      </c>
      <c r="D157" s="1" t="s">
        <v>1</v>
      </c>
      <c r="E157" s="5" t="s">
        <v>2</v>
      </c>
      <c r="F157" s="1" t="s">
        <v>3</v>
      </c>
      <c r="G157" s="5" t="s">
        <v>11</v>
      </c>
      <c r="H157" s="1" t="s">
        <v>17</v>
      </c>
      <c r="I157" s="5" t="s">
        <v>6</v>
      </c>
      <c r="J157" s="2">
        <v>95.7</v>
      </c>
      <c r="K157" s="4">
        <v>158.69999999999999</v>
      </c>
      <c r="L157" s="2">
        <v>63.6</v>
      </c>
      <c r="M157" s="4">
        <v>54.5</v>
      </c>
      <c r="N157" s="2">
        <v>1985</v>
      </c>
      <c r="O157" s="5" t="s">
        <v>18</v>
      </c>
      <c r="P157" s="1" t="s">
        <v>8</v>
      </c>
      <c r="Q157" s="4">
        <v>92</v>
      </c>
      <c r="R157" s="1" t="s">
        <v>28</v>
      </c>
      <c r="S157" s="4">
        <v>3.05</v>
      </c>
      <c r="T157" s="2">
        <v>3.03</v>
      </c>
      <c r="U157" s="4">
        <v>9</v>
      </c>
      <c r="V157" s="2">
        <v>62</v>
      </c>
      <c r="W157" s="4">
        <v>4800</v>
      </c>
      <c r="X157" s="2">
        <v>35</v>
      </c>
      <c r="Y157" s="4">
        <v>39</v>
      </c>
      <c r="Z157" s="2">
        <v>5348</v>
      </c>
      <c r="AC157" s="11">
        <f t="shared" si="12"/>
        <v>92</v>
      </c>
      <c r="AD157" s="11">
        <f t="shared" si="13"/>
        <v>62</v>
      </c>
      <c r="AE157" s="11">
        <f t="shared" si="14"/>
        <v>5348</v>
      </c>
      <c r="AF157" s="11">
        <f t="shared" si="15"/>
        <v>4800</v>
      </c>
      <c r="AG157" s="11">
        <f t="shared" si="16"/>
        <v>95.7</v>
      </c>
      <c r="AH157" s="11">
        <f t="shared" si="17"/>
        <v>63.6</v>
      </c>
      <c r="AJ157" s="40" t="s">
        <v>50</v>
      </c>
      <c r="AK157">
        <v>183</v>
      </c>
      <c r="AL157">
        <v>162</v>
      </c>
      <c r="AM157">
        <v>28248</v>
      </c>
      <c r="AN157">
        <v>6000</v>
      </c>
      <c r="AO157">
        <v>110</v>
      </c>
      <c r="AP157">
        <v>70.5</v>
      </c>
      <c r="AY157" s="40" t="s">
        <v>11</v>
      </c>
      <c r="AZ157" s="2">
        <v>62</v>
      </c>
    </row>
    <row r="158" spans="1:52" ht="15.75" x14ac:dyDescent="0.25">
      <c r="A158" s="4" t="s">
        <v>10</v>
      </c>
      <c r="B158" s="2">
        <v>104</v>
      </c>
      <c r="C158" s="5" t="s">
        <v>35</v>
      </c>
      <c r="D158" s="1" t="s">
        <v>1</v>
      </c>
      <c r="E158" s="5" t="s">
        <v>2</v>
      </c>
      <c r="F158" s="1" t="s">
        <v>3</v>
      </c>
      <c r="G158" s="5" t="s">
        <v>11</v>
      </c>
      <c r="H158" s="1" t="s">
        <v>17</v>
      </c>
      <c r="I158" s="5" t="s">
        <v>6</v>
      </c>
      <c r="J158" s="2">
        <v>93.1</v>
      </c>
      <c r="K158" s="4">
        <v>159.1</v>
      </c>
      <c r="L158" s="2">
        <v>64.2</v>
      </c>
      <c r="M158" s="4">
        <v>54.1</v>
      </c>
      <c r="N158" s="2">
        <v>1890</v>
      </c>
      <c r="O158" s="5" t="s">
        <v>18</v>
      </c>
      <c r="P158" s="1" t="s">
        <v>8</v>
      </c>
      <c r="Q158" s="4">
        <v>91</v>
      </c>
      <c r="R158" s="1" t="s">
        <v>28</v>
      </c>
      <c r="S158" s="4">
        <v>3.03</v>
      </c>
      <c r="T158" s="2">
        <v>3.15</v>
      </c>
      <c r="U158" s="4">
        <v>9</v>
      </c>
      <c r="V158" s="2">
        <v>68</v>
      </c>
      <c r="W158" s="4">
        <v>5000</v>
      </c>
      <c r="X158" s="2">
        <v>30</v>
      </c>
      <c r="Y158" s="4">
        <v>31</v>
      </c>
      <c r="Z158" s="2">
        <v>5195</v>
      </c>
      <c r="AC158" s="11">
        <f t="shared" si="12"/>
        <v>91</v>
      </c>
      <c r="AD158" s="11">
        <f t="shared" si="13"/>
        <v>68</v>
      </c>
      <c r="AE158" s="11">
        <f t="shared" si="14"/>
        <v>5195</v>
      </c>
      <c r="AF158" s="11">
        <f t="shared" si="15"/>
        <v>5000</v>
      </c>
      <c r="AG158" s="11">
        <f t="shared" si="16"/>
        <v>93.1</v>
      </c>
      <c r="AH158" s="11">
        <f t="shared" si="17"/>
        <v>64.2</v>
      </c>
      <c r="AJ158" s="40" t="s">
        <v>35</v>
      </c>
      <c r="AK158">
        <v>183</v>
      </c>
      <c r="AL158">
        <v>162</v>
      </c>
      <c r="AM158">
        <v>31600</v>
      </c>
      <c r="AN158">
        <v>6000</v>
      </c>
      <c r="AO158">
        <v>110</v>
      </c>
      <c r="AP158">
        <v>71.400000000000006</v>
      </c>
      <c r="AY158" s="40" t="s">
        <v>11</v>
      </c>
      <c r="AZ158" s="2">
        <v>68</v>
      </c>
    </row>
    <row r="159" spans="1:52" ht="15.75" x14ac:dyDescent="0.25">
      <c r="A159" s="4" t="s">
        <v>14</v>
      </c>
      <c r="B159" s="2">
        <v>121</v>
      </c>
      <c r="C159" s="5" t="s">
        <v>25</v>
      </c>
      <c r="D159" s="1" t="s">
        <v>1</v>
      </c>
      <c r="E159" s="5" t="s">
        <v>2</v>
      </c>
      <c r="F159" s="1" t="s">
        <v>3</v>
      </c>
      <c r="G159" s="5" t="s">
        <v>11</v>
      </c>
      <c r="H159" s="1" t="s">
        <v>17</v>
      </c>
      <c r="I159" s="5" t="s">
        <v>6</v>
      </c>
      <c r="J159" s="2">
        <v>88.4</v>
      </c>
      <c r="K159" s="4">
        <v>141.1</v>
      </c>
      <c r="L159" s="2">
        <v>60.3</v>
      </c>
      <c r="M159" s="4">
        <v>53.2</v>
      </c>
      <c r="N159" s="2">
        <v>1488</v>
      </c>
      <c r="O159" s="5" t="s">
        <v>26</v>
      </c>
      <c r="P159" s="1" t="s">
        <v>27</v>
      </c>
      <c r="Q159" s="4">
        <v>61</v>
      </c>
      <c r="R159" s="1" t="s">
        <v>28</v>
      </c>
      <c r="S159" s="4">
        <v>2.91</v>
      </c>
      <c r="T159" s="2">
        <v>3.03</v>
      </c>
      <c r="U159" s="4">
        <v>9.5</v>
      </c>
      <c r="V159" s="2">
        <v>48</v>
      </c>
      <c r="W159" s="4">
        <v>5100</v>
      </c>
      <c r="X159" s="2">
        <v>47</v>
      </c>
      <c r="Y159" s="4">
        <v>53</v>
      </c>
      <c r="Z159" s="2">
        <v>5151</v>
      </c>
      <c r="AC159" s="11">
        <f t="shared" si="12"/>
        <v>61</v>
      </c>
      <c r="AD159" s="11">
        <f t="shared" si="13"/>
        <v>48</v>
      </c>
      <c r="AE159" s="11">
        <f t="shared" si="14"/>
        <v>5151</v>
      </c>
      <c r="AF159" s="11">
        <f t="shared" si="15"/>
        <v>5100</v>
      </c>
      <c r="AG159" s="11">
        <f t="shared" si="16"/>
        <v>88.4</v>
      </c>
      <c r="AH159" s="11">
        <f t="shared" si="17"/>
        <v>60.3</v>
      </c>
      <c r="AJ159" s="40" t="s">
        <v>25</v>
      </c>
      <c r="AK159">
        <v>234</v>
      </c>
      <c r="AL159">
        <v>176</v>
      </c>
      <c r="AM159">
        <v>32250</v>
      </c>
      <c r="AN159">
        <v>6600</v>
      </c>
      <c r="AO159">
        <v>113</v>
      </c>
      <c r="AP159">
        <v>71.400000000000006</v>
      </c>
      <c r="AY159" s="40" t="s">
        <v>11</v>
      </c>
      <c r="AZ159" s="2">
        <v>48</v>
      </c>
    </row>
    <row r="160" spans="1:52" ht="15.75" x14ac:dyDescent="0.25">
      <c r="A160" s="4" t="s">
        <v>14</v>
      </c>
      <c r="B160" s="2">
        <v>83</v>
      </c>
      <c r="C160" s="5" t="s">
        <v>49</v>
      </c>
      <c r="D160" s="1" t="s">
        <v>1</v>
      </c>
      <c r="E160" s="5" t="s">
        <v>2</v>
      </c>
      <c r="F160" s="1" t="s">
        <v>3</v>
      </c>
      <c r="G160" s="5" t="s">
        <v>11</v>
      </c>
      <c r="H160" s="1" t="s">
        <v>17</v>
      </c>
      <c r="I160" s="5" t="s">
        <v>6</v>
      </c>
      <c r="J160" s="2">
        <v>93.7</v>
      </c>
      <c r="K160" s="4">
        <v>156.9</v>
      </c>
      <c r="L160" s="2">
        <v>63.4</v>
      </c>
      <c r="M160" s="4">
        <v>53.7</v>
      </c>
      <c r="N160" s="2">
        <v>2050</v>
      </c>
      <c r="O160" s="5" t="s">
        <v>47</v>
      </c>
      <c r="P160" s="1" t="s">
        <v>8</v>
      </c>
      <c r="Q160" s="4">
        <v>97</v>
      </c>
      <c r="R160" s="1" t="s">
        <v>28</v>
      </c>
      <c r="S160" s="4">
        <v>3.62</v>
      </c>
      <c r="T160" s="2">
        <v>2.36</v>
      </c>
      <c r="U160" s="4">
        <v>9</v>
      </c>
      <c r="V160" s="2">
        <v>69</v>
      </c>
      <c r="W160" s="4">
        <v>4900</v>
      </c>
      <c r="X160" s="2">
        <v>31</v>
      </c>
      <c r="Y160" s="4">
        <v>36</v>
      </c>
      <c r="Z160" s="2">
        <v>5118</v>
      </c>
      <c r="AC160" s="11">
        <f t="shared" si="12"/>
        <v>97</v>
      </c>
      <c r="AD160" s="11">
        <f t="shared" si="13"/>
        <v>69</v>
      </c>
      <c r="AE160" s="11">
        <f t="shared" si="14"/>
        <v>5118</v>
      </c>
      <c r="AF160" s="11">
        <f t="shared" si="15"/>
        <v>4900</v>
      </c>
      <c r="AG160" s="11">
        <f t="shared" si="16"/>
        <v>93.7</v>
      </c>
      <c r="AH160" s="11">
        <f t="shared" si="17"/>
        <v>63.4</v>
      </c>
      <c r="AJ160" s="40" t="s">
        <v>49</v>
      </c>
      <c r="AK160">
        <v>258</v>
      </c>
      <c r="AL160">
        <v>200</v>
      </c>
      <c r="AM160">
        <v>35056</v>
      </c>
      <c r="AN160">
        <v>6600</v>
      </c>
      <c r="AO160">
        <v>115.6</v>
      </c>
      <c r="AP160">
        <v>71.7</v>
      </c>
      <c r="AY160" s="40" t="s">
        <v>11</v>
      </c>
      <c r="AZ160" s="2">
        <v>69</v>
      </c>
    </row>
  </sheetData>
  <sortState xmlns:xlrd2="http://schemas.microsoft.com/office/spreadsheetml/2017/richdata2" ref="AP2:AP160">
    <sortCondition ref="AP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160"/>
  <sheetViews>
    <sheetView workbookViewId="0">
      <selection activeCell="B3" sqref="A3:B3"/>
    </sheetView>
  </sheetViews>
  <sheetFormatPr defaultRowHeight="15" x14ac:dyDescent="0.25"/>
  <cols>
    <col min="2" max="2" width="13.7109375" customWidth="1"/>
    <col min="17" max="17" width="13.140625" customWidth="1"/>
  </cols>
  <sheetData>
    <row r="1" spans="1:18" x14ac:dyDescent="0.25">
      <c r="A1" s="18" t="str">
        <f>'Исх. данные'!D1</f>
        <v>fuel-type</v>
      </c>
      <c r="B1" s="19" t="str">
        <f>'Исх. данные'!F1</f>
        <v>num-of-doors</v>
      </c>
      <c r="D1" s="45" t="s">
        <v>128</v>
      </c>
      <c r="E1" s="45"/>
      <c r="F1" s="45"/>
      <c r="G1" s="45"/>
      <c r="I1" s="21"/>
      <c r="J1" s="45" t="s">
        <v>129</v>
      </c>
      <c r="K1" s="45"/>
      <c r="L1" s="21"/>
      <c r="N1" s="45" t="s">
        <v>131</v>
      </c>
      <c r="O1" s="45"/>
      <c r="Q1" s="45" t="s">
        <v>132</v>
      </c>
      <c r="R1" s="45"/>
    </row>
    <row r="2" spans="1:18" x14ac:dyDescent="0.25">
      <c r="A2" t="str">
        <f>'Исх. данные'!D2</f>
        <v>gas</v>
      </c>
      <c r="B2" t="str">
        <f>'Исх. данные'!F2</f>
        <v>two</v>
      </c>
      <c r="E2" t="s">
        <v>123</v>
      </c>
      <c r="F2" t="s">
        <v>124</v>
      </c>
      <c r="G2" s="20" t="s">
        <v>127</v>
      </c>
      <c r="J2" t="str">
        <f>E2</f>
        <v>2 двери</v>
      </c>
      <c r="K2" t="str">
        <f t="shared" ref="K2" si="0">F2</f>
        <v>4 двери</v>
      </c>
      <c r="N2" t="s">
        <v>123</v>
      </c>
      <c r="O2" t="s">
        <v>124</v>
      </c>
      <c r="Q2" t="str">
        <f>N2</f>
        <v>2 двери</v>
      </c>
      <c r="R2" t="str">
        <f>O2</f>
        <v>4 двери</v>
      </c>
    </row>
    <row r="3" spans="1:18" x14ac:dyDescent="0.25">
      <c r="A3" t="str">
        <f>'Исх. данные'!D3</f>
        <v>gas</v>
      </c>
      <c r="B3" t="str">
        <f>'Исх. данные'!F3</f>
        <v>four</v>
      </c>
      <c r="D3" t="s">
        <v>125</v>
      </c>
      <c r="E3">
        <f>COUNTIFS(A2:A160, "gas", B2:B160, "two")</f>
        <v>61</v>
      </c>
      <c r="F3">
        <f>COUNTIFS(A2:A160, "gas", B2:B160, "four")</f>
        <v>83</v>
      </c>
      <c r="G3">
        <f>COUNTIF(A2:A160, "gas")</f>
        <v>144</v>
      </c>
      <c r="J3">
        <f>E3/E5</f>
        <v>0.953125</v>
      </c>
      <c r="K3">
        <f>F3/F5</f>
        <v>0.87368421052631584</v>
      </c>
      <c r="N3">
        <f>Q3*E$5</f>
        <v>57.6</v>
      </c>
      <c r="O3">
        <f>R3*F$5</f>
        <v>9.5</v>
      </c>
      <c r="Q3">
        <v>0.9</v>
      </c>
      <c r="R3">
        <v>0.1</v>
      </c>
    </row>
    <row r="4" spans="1:18" x14ac:dyDescent="0.25">
      <c r="A4" t="str">
        <f>'Исх. данные'!D4</f>
        <v>diesel</v>
      </c>
      <c r="B4" t="str">
        <f>'Исх. данные'!F4</f>
        <v>four</v>
      </c>
      <c r="D4" t="s">
        <v>126</v>
      </c>
      <c r="E4">
        <f>COUNTIFS(A2:A160, "diesel", B2:B160, "two")</f>
        <v>3</v>
      </c>
      <c r="F4">
        <f>COUNTIFS(A2:A160, "diesel", B2:B160, "four")</f>
        <v>12</v>
      </c>
      <c r="G4">
        <f>COUNTIF(A2:A160, "diesel")</f>
        <v>15</v>
      </c>
      <c r="J4">
        <f>E4/E5</f>
        <v>4.6875E-2</v>
      </c>
      <c r="K4">
        <f>F4/F5</f>
        <v>0.12631578947368421</v>
      </c>
      <c r="N4">
        <f>Q4*E$5</f>
        <v>6.4</v>
      </c>
      <c r="O4">
        <f>R4*F$5</f>
        <v>85.5</v>
      </c>
      <c r="Q4">
        <v>0.1</v>
      </c>
      <c r="R4">
        <v>0.9</v>
      </c>
    </row>
    <row r="5" spans="1:18" x14ac:dyDescent="0.25">
      <c r="A5" t="str">
        <f>'Исх. данные'!D5</f>
        <v>diesel</v>
      </c>
      <c r="B5" t="str">
        <f>'Исх. данные'!F5</f>
        <v>four</v>
      </c>
      <c r="D5" s="20" t="s">
        <v>127</v>
      </c>
      <c r="E5">
        <f>COUNTIF(B2:B160, "two")</f>
        <v>64</v>
      </c>
      <c r="F5">
        <f>COUNTIF(B2:B160, "four")</f>
        <v>95</v>
      </c>
      <c r="J5">
        <f>J3+J4</f>
        <v>1</v>
      </c>
      <c r="K5">
        <f>K3+K4</f>
        <v>1</v>
      </c>
      <c r="N5">
        <f>N3+N4</f>
        <v>64</v>
      </c>
      <c r="O5">
        <f>O3+O4</f>
        <v>95</v>
      </c>
      <c r="Q5">
        <f>Q3+Q4</f>
        <v>1</v>
      </c>
      <c r="R5">
        <f>R3+R4</f>
        <v>1</v>
      </c>
    </row>
    <row r="6" spans="1:18" x14ac:dyDescent="0.25">
      <c r="A6" t="str">
        <f>'Исх. данные'!D6</f>
        <v>diesel</v>
      </c>
      <c r="B6" t="str">
        <f>'Исх. данные'!F6</f>
        <v>two</v>
      </c>
    </row>
    <row r="7" spans="1:18" x14ac:dyDescent="0.25">
      <c r="A7" t="str">
        <f>'Исх. данные'!D7</f>
        <v>diesel</v>
      </c>
      <c r="B7" t="str">
        <f>'Исх. данные'!F7</f>
        <v>four</v>
      </c>
    </row>
    <row r="8" spans="1:18" x14ac:dyDescent="0.25">
      <c r="A8" t="str">
        <f>'Исх. данные'!D8</f>
        <v>gas</v>
      </c>
      <c r="B8" t="str">
        <f>'Исх. данные'!F8</f>
        <v>four</v>
      </c>
      <c r="N8" s="45" t="s">
        <v>130</v>
      </c>
      <c r="O8" s="45"/>
      <c r="P8" s="45"/>
      <c r="Q8" s="45"/>
      <c r="R8">
        <f>_xlfn.CHISQ.TEST(E3:F4,N3:O4)</f>
        <v>7.2726439694545288E-140</v>
      </c>
    </row>
    <row r="9" spans="1:18" x14ac:dyDescent="0.25">
      <c r="A9" t="str">
        <f>'Исх. данные'!D9</f>
        <v>gas</v>
      </c>
      <c r="B9" t="str">
        <f>'Исх. данные'!F9</f>
        <v>four</v>
      </c>
    </row>
    <row r="10" spans="1:18" x14ac:dyDescent="0.25">
      <c r="A10" t="str">
        <f>'Исх. данные'!D10</f>
        <v>diesel</v>
      </c>
      <c r="B10" t="str">
        <f>'Исх. данные'!F10</f>
        <v>four</v>
      </c>
    </row>
    <row r="11" spans="1:18" x14ac:dyDescent="0.25">
      <c r="A11" t="str">
        <f>'Исх. данные'!D11</f>
        <v>gas</v>
      </c>
      <c r="B11" t="str">
        <f>'Исх. данные'!F11</f>
        <v>two</v>
      </c>
    </row>
    <row r="12" spans="1:18" x14ac:dyDescent="0.25">
      <c r="A12" t="str">
        <f>'Исх. данные'!D12</f>
        <v>gas</v>
      </c>
      <c r="B12" t="str">
        <f>'Исх. данные'!F12</f>
        <v>four</v>
      </c>
    </row>
    <row r="13" spans="1:18" x14ac:dyDescent="0.25">
      <c r="A13" t="str">
        <f>'Исх. данные'!D13</f>
        <v>gas</v>
      </c>
      <c r="B13" t="str">
        <f>'Исх. данные'!F13</f>
        <v>four</v>
      </c>
      <c r="N13" s="45" t="s">
        <v>133</v>
      </c>
      <c r="O13" s="45"/>
      <c r="Q13" s="45" t="s">
        <v>134</v>
      </c>
      <c r="R13" s="45"/>
    </row>
    <row r="14" spans="1:18" x14ac:dyDescent="0.25">
      <c r="A14" t="str">
        <f>'Исх. данные'!D14</f>
        <v>gas</v>
      </c>
      <c r="B14" t="str">
        <f>'Исх. данные'!F14</f>
        <v>two</v>
      </c>
      <c r="N14" t="str">
        <f>N2</f>
        <v>2 двери</v>
      </c>
      <c r="O14" t="str">
        <f>O2</f>
        <v>4 двери</v>
      </c>
      <c r="Q14" t="str">
        <f>Q2</f>
        <v>2 двери</v>
      </c>
      <c r="R14" t="str">
        <f>R2</f>
        <v>4 двери</v>
      </c>
    </row>
    <row r="15" spans="1:18" x14ac:dyDescent="0.25">
      <c r="A15" t="str">
        <f>'Исх. данные'!D15</f>
        <v>gas</v>
      </c>
      <c r="B15" t="str">
        <f>'Исх. данные'!F15</f>
        <v>two</v>
      </c>
      <c r="N15">
        <f>Q15*E$5</f>
        <v>60.8</v>
      </c>
      <c r="O15">
        <f>R15*F$5</f>
        <v>83.125</v>
      </c>
      <c r="Q15">
        <v>0.95</v>
      </c>
      <c r="R15">
        <v>0.875</v>
      </c>
    </row>
    <row r="16" spans="1:18" x14ac:dyDescent="0.25">
      <c r="A16" t="str">
        <f>'Исх. данные'!D16</f>
        <v>gas</v>
      </c>
      <c r="B16" t="str">
        <f>'Исх. данные'!F16</f>
        <v>four</v>
      </c>
      <c r="N16">
        <f>Q16*E$5</f>
        <v>3.2</v>
      </c>
      <c r="O16">
        <f>R16*F$5</f>
        <v>11.875</v>
      </c>
      <c r="Q16">
        <v>0.05</v>
      </c>
      <c r="R16">
        <v>0.125</v>
      </c>
    </row>
    <row r="17" spans="1:18" x14ac:dyDescent="0.25">
      <c r="A17" t="str">
        <f>'Исх. данные'!D17</f>
        <v>gas</v>
      </c>
      <c r="B17" t="str">
        <f>'Исх. данные'!F17</f>
        <v>four</v>
      </c>
      <c r="N17">
        <f t="shared" ref="N17:O17" si="1">N15+N16</f>
        <v>64</v>
      </c>
      <c r="O17">
        <f t="shared" si="1"/>
        <v>95</v>
      </c>
      <c r="Q17">
        <f>Q15+Q16</f>
        <v>1</v>
      </c>
      <c r="R17">
        <f>R15+R16</f>
        <v>1</v>
      </c>
    </row>
    <row r="18" spans="1:18" x14ac:dyDescent="0.25">
      <c r="A18" t="str">
        <f>'Исх. данные'!D18</f>
        <v>gas</v>
      </c>
      <c r="B18" t="str">
        <f>'Исх. данные'!F18</f>
        <v>four</v>
      </c>
    </row>
    <row r="19" spans="1:18" x14ac:dyDescent="0.25">
      <c r="A19" t="str">
        <f>'Исх. данные'!D19</f>
        <v>gas</v>
      </c>
      <c r="B19" t="str">
        <f>'Исх. данные'!F19</f>
        <v>four</v>
      </c>
    </row>
    <row r="20" spans="1:18" x14ac:dyDescent="0.25">
      <c r="A20" t="str">
        <f>'Исх. данные'!D20</f>
        <v>gas</v>
      </c>
      <c r="B20" t="str">
        <f>'Исх. данные'!F20</f>
        <v>two</v>
      </c>
      <c r="N20" s="45" t="s">
        <v>135</v>
      </c>
      <c r="O20" s="45"/>
      <c r="P20" s="45"/>
      <c r="Q20" s="45"/>
      <c r="R20">
        <f>_xlfn.CHISQ.TEST(E3:F4,N15:O16)</f>
        <v>0.9036234584709153</v>
      </c>
    </row>
    <row r="21" spans="1:18" x14ac:dyDescent="0.25">
      <c r="A21" t="str">
        <f>'Исх. данные'!D21</f>
        <v>gas</v>
      </c>
      <c r="B21" t="str">
        <f>'Исх. данные'!F21</f>
        <v>four</v>
      </c>
    </row>
    <row r="22" spans="1:18" x14ac:dyDescent="0.25">
      <c r="A22" t="str">
        <f>'Исх. данные'!D22</f>
        <v>gas</v>
      </c>
      <c r="B22" t="str">
        <f>'Исх. данные'!F22</f>
        <v>four</v>
      </c>
    </row>
    <row r="23" spans="1:18" x14ac:dyDescent="0.25">
      <c r="A23" t="str">
        <f>'Исх. данные'!D23</f>
        <v>gas</v>
      </c>
      <c r="B23" t="str">
        <f>'Исх. данные'!F23</f>
        <v>two</v>
      </c>
    </row>
    <row r="24" spans="1:18" x14ac:dyDescent="0.25">
      <c r="A24" t="str">
        <f>'Исх. данные'!D24</f>
        <v>diesel</v>
      </c>
      <c r="B24" t="str">
        <f>'Исх. данные'!F24</f>
        <v>four</v>
      </c>
    </row>
    <row r="25" spans="1:18" x14ac:dyDescent="0.25">
      <c r="A25" t="str">
        <f>'Исх. данные'!D25</f>
        <v>gas</v>
      </c>
      <c r="B25" t="str">
        <f>'Исх. данные'!F25</f>
        <v>four</v>
      </c>
    </row>
    <row r="26" spans="1:18" x14ac:dyDescent="0.25">
      <c r="A26" t="str">
        <f>'Исх. данные'!D26</f>
        <v>gas</v>
      </c>
      <c r="B26" t="str">
        <f>'Исх. данные'!F26</f>
        <v>two</v>
      </c>
    </row>
    <row r="27" spans="1:18" x14ac:dyDescent="0.25">
      <c r="A27" t="str">
        <f>'Исх. данные'!D27</f>
        <v>gas</v>
      </c>
      <c r="B27" t="str">
        <f>'Исх. данные'!F27</f>
        <v>four</v>
      </c>
    </row>
    <row r="28" spans="1:18" x14ac:dyDescent="0.25">
      <c r="A28" t="str">
        <f>'Исх. данные'!D28</f>
        <v>gas</v>
      </c>
      <c r="B28" t="str">
        <f>'Исх. данные'!F28</f>
        <v>two</v>
      </c>
    </row>
    <row r="29" spans="1:18" x14ac:dyDescent="0.25">
      <c r="A29" t="str">
        <f>'Исх. данные'!D29</f>
        <v>gas</v>
      </c>
      <c r="B29" t="str">
        <f>'Исх. данные'!F29</f>
        <v>four</v>
      </c>
    </row>
    <row r="30" spans="1:18" x14ac:dyDescent="0.25">
      <c r="A30" t="str">
        <f>'Исх. данные'!D30</f>
        <v>diesel</v>
      </c>
      <c r="B30" t="str">
        <f>'Исх. данные'!F30</f>
        <v>four</v>
      </c>
    </row>
    <row r="31" spans="1:18" x14ac:dyDescent="0.25">
      <c r="A31" t="str">
        <f>'Исх. данные'!D31</f>
        <v>gas</v>
      </c>
      <c r="B31" t="str">
        <f>'Исх. данные'!F31</f>
        <v>four</v>
      </c>
    </row>
    <row r="32" spans="1:18" x14ac:dyDescent="0.25">
      <c r="A32" t="str">
        <f>'Исх. данные'!D32</f>
        <v>gas</v>
      </c>
      <c r="B32" t="str">
        <f>'Исх. данные'!F32</f>
        <v>four</v>
      </c>
    </row>
    <row r="33" spans="1:2" x14ac:dyDescent="0.25">
      <c r="A33" t="str">
        <f>'Исх. данные'!D33</f>
        <v>gas</v>
      </c>
      <c r="B33" t="str">
        <f>'Исх. данные'!F33</f>
        <v>two</v>
      </c>
    </row>
    <row r="34" spans="1:2" x14ac:dyDescent="0.25">
      <c r="A34" t="str">
        <f>'Исх. данные'!D34</f>
        <v>gas</v>
      </c>
      <c r="B34" t="str">
        <f>'Исх. данные'!F34</f>
        <v>four</v>
      </c>
    </row>
    <row r="35" spans="1:2" x14ac:dyDescent="0.25">
      <c r="A35" t="str">
        <f>'Исх. данные'!D35</f>
        <v>gas</v>
      </c>
      <c r="B35" t="str">
        <f>'Исх. данные'!F35</f>
        <v>two</v>
      </c>
    </row>
    <row r="36" spans="1:2" x14ac:dyDescent="0.25">
      <c r="A36" t="str">
        <f>'Исх. данные'!D36</f>
        <v>gas</v>
      </c>
      <c r="B36" t="str">
        <f>'Исх. данные'!F36</f>
        <v>two</v>
      </c>
    </row>
    <row r="37" spans="1:2" x14ac:dyDescent="0.25">
      <c r="A37" t="str">
        <f>'Исх. данные'!D37</f>
        <v>gas</v>
      </c>
      <c r="B37" t="str">
        <f>'Исх. данные'!F37</f>
        <v>four</v>
      </c>
    </row>
    <row r="38" spans="1:2" x14ac:dyDescent="0.25">
      <c r="A38" t="str">
        <f>'Исх. данные'!D38</f>
        <v>gas</v>
      </c>
      <c r="B38" t="str">
        <f>'Исх. данные'!F38</f>
        <v>four</v>
      </c>
    </row>
    <row r="39" spans="1:2" x14ac:dyDescent="0.25">
      <c r="A39" t="str">
        <f>'Исх. данные'!D39</f>
        <v>gas</v>
      </c>
      <c r="B39" t="str">
        <f>'Исх. данные'!F39</f>
        <v>four</v>
      </c>
    </row>
    <row r="40" spans="1:2" x14ac:dyDescent="0.25">
      <c r="A40" t="str">
        <f>'Исх. данные'!D40</f>
        <v>gas</v>
      </c>
      <c r="B40" t="str">
        <f>'Исх. данные'!F40</f>
        <v>four</v>
      </c>
    </row>
    <row r="41" spans="1:2" x14ac:dyDescent="0.25">
      <c r="A41" t="str">
        <f>'Исх. данные'!D41</f>
        <v>gas</v>
      </c>
      <c r="B41" t="str">
        <f>'Исх. данные'!F41</f>
        <v>two</v>
      </c>
    </row>
    <row r="42" spans="1:2" x14ac:dyDescent="0.25">
      <c r="A42" t="str">
        <f>'Исх. данные'!D42</f>
        <v>gas</v>
      </c>
      <c r="B42" t="str">
        <f>'Исх. данные'!F42</f>
        <v>four</v>
      </c>
    </row>
    <row r="43" spans="1:2" x14ac:dyDescent="0.25">
      <c r="A43" t="str">
        <f>'Исх. данные'!D43</f>
        <v>gas</v>
      </c>
      <c r="B43" t="str">
        <f>'Исх. данные'!F43</f>
        <v>four</v>
      </c>
    </row>
    <row r="44" spans="1:2" x14ac:dyDescent="0.25">
      <c r="A44" t="str">
        <f>'Исх. данные'!D44</f>
        <v>gas</v>
      </c>
      <c r="B44" t="str">
        <f>'Исх. данные'!F44</f>
        <v>four</v>
      </c>
    </row>
    <row r="45" spans="1:2" x14ac:dyDescent="0.25">
      <c r="A45" t="str">
        <f>'Исх. данные'!D45</f>
        <v>gas</v>
      </c>
      <c r="B45" t="str">
        <f>'Исх. данные'!F45</f>
        <v>four</v>
      </c>
    </row>
    <row r="46" spans="1:2" x14ac:dyDescent="0.25">
      <c r="A46" t="str">
        <f>'Исх. данные'!D46</f>
        <v>gas</v>
      </c>
      <c r="B46" t="str">
        <f>'Исх. данные'!F46</f>
        <v>four</v>
      </c>
    </row>
    <row r="47" spans="1:2" x14ac:dyDescent="0.25">
      <c r="A47" t="str">
        <f>'Исх. данные'!D47</f>
        <v>diesel</v>
      </c>
      <c r="B47" t="str">
        <f>'Исх. данные'!F47</f>
        <v>four</v>
      </c>
    </row>
    <row r="48" spans="1:2" x14ac:dyDescent="0.25">
      <c r="A48" t="str">
        <f>'Исх. данные'!D48</f>
        <v>gas</v>
      </c>
      <c r="B48" t="str">
        <f>'Исх. данные'!F48</f>
        <v>two</v>
      </c>
    </row>
    <row r="49" spans="1:2" x14ac:dyDescent="0.25">
      <c r="A49" t="str">
        <f>'Исх. данные'!D49</f>
        <v>gas</v>
      </c>
      <c r="B49" t="str">
        <f>'Исх. данные'!F49</f>
        <v>four</v>
      </c>
    </row>
    <row r="50" spans="1:2" x14ac:dyDescent="0.25">
      <c r="A50" t="str">
        <f>'Исх. данные'!D50</f>
        <v>gas</v>
      </c>
      <c r="B50" t="str">
        <f>'Исх. данные'!F50</f>
        <v>four</v>
      </c>
    </row>
    <row r="51" spans="1:2" x14ac:dyDescent="0.25">
      <c r="A51" t="str">
        <f>'Исх. данные'!D51</f>
        <v>gas</v>
      </c>
      <c r="B51" t="str">
        <f>'Исх. данные'!F51</f>
        <v>four</v>
      </c>
    </row>
    <row r="52" spans="1:2" x14ac:dyDescent="0.25">
      <c r="A52" t="str">
        <f>'Исх. данные'!D52</f>
        <v>gas</v>
      </c>
      <c r="B52" t="str">
        <f>'Исх. данные'!F52</f>
        <v>four</v>
      </c>
    </row>
    <row r="53" spans="1:2" x14ac:dyDescent="0.25">
      <c r="A53" t="str">
        <f>'Исх. данные'!D53</f>
        <v>gas</v>
      </c>
      <c r="B53" t="str">
        <f>'Исх. данные'!F53</f>
        <v>two</v>
      </c>
    </row>
    <row r="54" spans="1:2" x14ac:dyDescent="0.25">
      <c r="A54" t="str">
        <f>'Исх. данные'!D54</f>
        <v>gas</v>
      </c>
      <c r="B54" t="str">
        <f>'Исх. данные'!F54</f>
        <v>four</v>
      </c>
    </row>
    <row r="55" spans="1:2" x14ac:dyDescent="0.25">
      <c r="A55" t="str">
        <f>'Исх. данные'!D55</f>
        <v>gas</v>
      </c>
      <c r="B55" t="str">
        <f>'Исх. данные'!F55</f>
        <v>two</v>
      </c>
    </row>
    <row r="56" spans="1:2" x14ac:dyDescent="0.25">
      <c r="A56" t="str">
        <f>'Исх. данные'!D56</f>
        <v>gas</v>
      </c>
      <c r="B56" t="str">
        <f>'Исх. данные'!F56</f>
        <v>four</v>
      </c>
    </row>
    <row r="57" spans="1:2" x14ac:dyDescent="0.25">
      <c r="A57" t="str">
        <f>'Исх. данные'!D57</f>
        <v>gas</v>
      </c>
      <c r="B57" t="str">
        <f>'Исх. данные'!F57</f>
        <v>four</v>
      </c>
    </row>
    <row r="58" spans="1:2" x14ac:dyDescent="0.25">
      <c r="A58" t="str">
        <f>'Исх. данные'!D58</f>
        <v>gas</v>
      </c>
      <c r="B58" t="str">
        <f>'Исх. данные'!F58</f>
        <v>four</v>
      </c>
    </row>
    <row r="59" spans="1:2" x14ac:dyDescent="0.25">
      <c r="A59" t="str">
        <f>'Исх. данные'!D59</f>
        <v>gas</v>
      </c>
      <c r="B59" t="str">
        <f>'Исх. данные'!F59</f>
        <v>two</v>
      </c>
    </row>
    <row r="60" spans="1:2" x14ac:dyDescent="0.25">
      <c r="A60" t="str">
        <f>'Исх. данные'!D60</f>
        <v>gas</v>
      </c>
      <c r="B60" t="str">
        <f>'Исх. данные'!F60</f>
        <v>four</v>
      </c>
    </row>
    <row r="61" spans="1:2" x14ac:dyDescent="0.25">
      <c r="A61" t="str">
        <f>'Исх. данные'!D61</f>
        <v>diesel</v>
      </c>
      <c r="B61" t="str">
        <f>'Исх. данные'!F61</f>
        <v>four</v>
      </c>
    </row>
    <row r="62" spans="1:2" x14ac:dyDescent="0.25">
      <c r="A62" t="str">
        <f>'Исх. данные'!D62</f>
        <v>gas</v>
      </c>
      <c r="B62" t="str">
        <f>'Исх. данные'!F62</f>
        <v>two</v>
      </c>
    </row>
    <row r="63" spans="1:2" x14ac:dyDescent="0.25">
      <c r="A63" t="str">
        <f>'Исх. данные'!D63</f>
        <v>gas</v>
      </c>
      <c r="B63" t="str">
        <f>'Исх. данные'!F63</f>
        <v>two</v>
      </c>
    </row>
    <row r="64" spans="1:2" x14ac:dyDescent="0.25">
      <c r="A64" t="str">
        <f>'Исх. данные'!D64</f>
        <v>gas</v>
      </c>
      <c r="B64" t="str">
        <f>'Исх. данные'!F64</f>
        <v>four</v>
      </c>
    </row>
    <row r="65" spans="1:2" x14ac:dyDescent="0.25">
      <c r="A65" t="str">
        <f>'Исх. данные'!D65</f>
        <v>gas</v>
      </c>
      <c r="B65" t="str">
        <f>'Исх. данные'!F65</f>
        <v>four</v>
      </c>
    </row>
    <row r="66" spans="1:2" x14ac:dyDescent="0.25">
      <c r="A66" t="str">
        <f>'Исх. данные'!D66</f>
        <v>gas</v>
      </c>
      <c r="B66" t="str">
        <f>'Исх. данные'!F66</f>
        <v>four</v>
      </c>
    </row>
    <row r="67" spans="1:2" x14ac:dyDescent="0.25">
      <c r="A67" t="str">
        <f>'Исх. данные'!D67</f>
        <v>gas</v>
      </c>
      <c r="B67" t="str">
        <f>'Исх. данные'!F67</f>
        <v>four</v>
      </c>
    </row>
    <row r="68" spans="1:2" x14ac:dyDescent="0.25">
      <c r="A68" t="str">
        <f>'Исх. данные'!D68</f>
        <v>gas</v>
      </c>
      <c r="B68" t="str">
        <f>'Исх. данные'!F68</f>
        <v>two</v>
      </c>
    </row>
    <row r="69" spans="1:2" x14ac:dyDescent="0.25">
      <c r="A69" t="str">
        <f>'Исх. данные'!D69</f>
        <v>gas</v>
      </c>
      <c r="B69" t="str">
        <f>'Исх. данные'!F69</f>
        <v>four</v>
      </c>
    </row>
    <row r="70" spans="1:2" x14ac:dyDescent="0.25">
      <c r="A70" t="str">
        <f>'Исх. данные'!D70</f>
        <v>gas</v>
      </c>
      <c r="B70" t="str">
        <f>'Исх. данные'!F70</f>
        <v>two</v>
      </c>
    </row>
    <row r="71" spans="1:2" x14ac:dyDescent="0.25">
      <c r="A71" t="str">
        <f>'Исх. данные'!D71</f>
        <v>gas</v>
      </c>
      <c r="B71" t="str">
        <f>'Исх. данные'!F71</f>
        <v>four</v>
      </c>
    </row>
    <row r="72" spans="1:2" x14ac:dyDescent="0.25">
      <c r="A72" t="str">
        <f>'Исх. данные'!D72</f>
        <v>gas</v>
      </c>
      <c r="B72" t="str">
        <f>'Исх. данные'!F72</f>
        <v>two</v>
      </c>
    </row>
    <row r="73" spans="1:2" x14ac:dyDescent="0.25">
      <c r="A73" t="str">
        <f>'Исх. данные'!D73</f>
        <v>gas</v>
      </c>
      <c r="B73" t="str">
        <f>'Исх. данные'!F73</f>
        <v>two</v>
      </c>
    </row>
    <row r="74" spans="1:2" x14ac:dyDescent="0.25">
      <c r="A74" t="str">
        <f>'Исх. данные'!D74</f>
        <v>gas</v>
      </c>
      <c r="B74" t="str">
        <f>'Исх. данные'!F74</f>
        <v>four</v>
      </c>
    </row>
    <row r="75" spans="1:2" x14ac:dyDescent="0.25">
      <c r="A75" t="str">
        <f>'Исх. данные'!D75</f>
        <v>gas</v>
      </c>
      <c r="B75" t="str">
        <f>'Исх. данные'!F75</f>
        <v>two</v>
      </c>
    </row>
    <row r="76" spans="1:2" x14ac:dyDescent="0.25">
      <c r="A76" t="str">
        <f>'Исх. данные'!D76</f>
        <v>diesel</v>
      </c>
      <c r="B76" t="str">
        <f>'Исх. данные'!F76</f>
        <v>four</v>
      </c>
    </row>
    <row r="77" spans="1:2" x14ac:dyDescent="0.25">
      <c r="A77" t="str">
        <f>'Исх. данные'!D77</f>
        <v>gas</v>
      </c>
      <c r="B77" t="str">
        <f>'Исх. данные'!F77</f>
        <v>two</v>
      </c>
    </row>
    <row r="78" spans="1:2" x14ac:dyDescent="0.25">
      <c r="A78" t="str">
        <f>'Исх. данные'!D78</f>
        <v>gas</v>
      </c>
      <c r="B78" t="str">
        <f>'Исх. данные'!F78</f>
        <v>four</v>
      </c>
    </row>
    <row r="79" spans="1:2" x14ac:dyDescent="0.25">
      <c r="A79" t="str">
        <f>'Исх. данные'!D79</f>
        <v>gas</v>
      </c>
      <c r="B79" t="str">
        <f>'Исх. данные'!F79</f>
        <v>four</v>
      </c>
    </row>
    <row r="80" spans="1:2" x14ac:dyDescent="0.25">
      <c r="A80" t="str">
        <f>'Исх. данные'!D80</f>
        <v>gas</v>
      </c>
      <c r="B80" t="str">
        <f>'Исх. данные'!F80</f>
        <v>four</v>
      </c>
    </row>
    <row r="81" spans="1:2" x14ac:dyDescent="0.25">
      <c r="A81" t="str">
        <f>'Исх. данные'!D81</f>
        <v>gas</v>
      </c>
      <c r="B81" t="str">
        <f>'Исх. данные'!F81</f>
        <v>four</v>
      </c>
    </row>
    <row r="82" spans="1:2" x14ac:dyDescent="0.25">
      <c r="A82" t="str">
        <f>'Исх. данные'!D82</f>
        <v>gas</v>
      </c>
      <c r="B82" t="str">
        <f>'Исх. данные'!F82</f>
        <v>two</v>
      </c>
    </row>
    <row r="83" spans="1:2" x14ac:dyDescent="0.25">
      <c r="A83" t="str">
        <f>'Исх. данные'!D83</f>
        <v>gas</v>
      </c>
      <c r="B83" t="str">
        <f>'Исх. данные'!F83</f>
        <v>four</v>
      </c>
    </row>
    <row r="84" spans="1:2" x14ac:dyDescent="0.25">
      <c r="A84" t="str">
        <f>'Исх. данные'!D84</f>
        <v>gas</v>
      </c>
      <c r="B84" t="str">
        <f>'Исх. данные'!F84</f>
        <v>four</v>
      </c>
    </row>
    <row r="85" spans="1:2" x14ac:dyDescent="0.25">
      <c r="A85" t="str">
        <f>'Исх. данные'!D85</f>
        <v>gas</v>
      </c>
      <c r="B85" t="str">
        <f>'Исх. данные'!F85</f>
        <v>four</v>
      </c>
    </row>
    <row r="86" spans="1:2" x14ac:dyDescent="0.25">
      <c r="A86" t="str">
        <f>'Исх. данные'!D86</f>
        <v>gas</v>
      </c>
      <c r="B86" t="str">
        <f>'Исх. данные'!F86</f>
        <v>four</v>
      </c>
    </row>
    <row r="87" spans="1:2" x14ac:dyDescent="0.25">
      <c r="A87" t="str">
        <f>'Исх. данные'!D87</f>
        <v>gas</v>
      </c>
      <c r="B87" t="str">
        <f>'Исх. данные'!F87</f>
        <v>four</v>
      </c>
    </row>
    <row r="88" spans="1:2" x14ac:dyDescent="0.25">
      <c r="A88" t="str">
        <f>'Исх. данные'!D88</f>
        <v>gas</v>
      </c>
      <c r="B88" t="str">
        <f>'Исх. данные'!F88</f>
        <v>two</v>
      </c>
    </row>
    <row r="89" spans="1:2" x14ac:dyDescent="0.25">
      <c r="A89" t="str">
        <f>'Исх. данные'!D89</f>
        <v>gas</v>
      </c>
      <c r="B89" t="str">
        <f>'Исх. данные'!F89</f>
        <v>four</v>
      </c>
    </row>
    <row r="90" spans="1:2" x14ac:dyDescent="0.25">
      <c r="A90" t="str">
        <f>'Исх. данные'!D90</f>
        <v>gas</v>
      </c>
      <c r="B90" t="str">
        <f>'Исх. данные'!F90</f>
        <v>two</v>
      </c>
    </row>
    <row r="91" spans="1:2" x14ac:dyDescent="0.25">
      <c r="A91" t="str">
        <f>'Исх. данные'!D91</f>
        <v>gas</v>
      </c>
      <c r="B91" t="str">
        <f>'Исх. данные'!F91</f>
        <v>four</v>
      </c>
    </row>
    <row r="92" spans="1:2" x14ac:dyDescent="0.25">
      <c r="A92" t="str">
        <f>'Исх. данные'!D92</f>
        <v>gas</v>
      </c>
      <c r="B92" t="str">
        <f>'Исх. данные'!F92</f>
        <v>four</v>
      </c>
    </row>
    <row r="93" spans="1:2" x14ac:dyDescent="0.25">
      <c r="A93" t="str">
        <f>'Исх. данные'!D93</f>
        <v>gas</v>
      </c>
      <c r="B93" t="str">
        <f>'Исх. данные'!F93</f>
        <v>two</v>
      </c>
    </row>
    <row r="94" spans="1:2" x14ac:dyDescent="0.25">
      <c r="A94" t="str">
        <f>'Исх. данные'!D94</f>
        <v>gas</v>
      </c>
      <c r="B94" t="str">
        <f>'Исх. данные'!F94</f>
        <v>four</v>
      </c>
    </row>
    <row r="95" spans="1:2" x14ac:dyDescent="0.25">
      <c r="A95" t="str">
        <f>'Исх. данные'!D95</f>
        <v>gas</v>
      </c>
      <c r="B95" t="str">
        <f>'Исх. данные'!F95</f>
        <v>two</v>
      </c>
    </row>
    <row r="96" spans="1:2" x14ac:dyDescent="0.25">
      <c r="A96" t="str">
        <f>'Исх. данные'!D96</f>
        <v>gas</v>
      </c>
      <c r="B96" t="str">
        <f>'Исх. данные'!F96</f>
        <v>two</v>
      </c>
    </row>
    <row r="97" spans="1:2" x14ac:dyDescent="0.25">
      <c r="A97" t="str">
        <f>'Исх. данные'!D97</f>
        <v>gas</v>
      </c>
      <c r="B97" t="str">
        <f>'Исх. данные'!F97</f>
        <v>four</v>
      </c>
    </row>
    <row r="98" spans="1:2" x14ac:dyDescent="0.25">
      <c r="A98" t="str">
        <f>'Исх. данные'!D98</f>
        <v>gas</v>
      </c>
      <c r="B98" t="str">
        <f>'Исх. данные'!F98</f>
        <v>four</v>
      </c>
    </row>
    <row r="99" spans="1:2" x14ac:dyDescent="0.25">
      <c r="A99" t="str">
        <f>'Исх. данные'!D99</f>
        <v>gas</v>
      </c>
      <c r="B99" t="str">
        <f>'Исх. данные'!F99</f>
        <v>two</v>
      </c>
    </row>
    <row r="100" spans="1:2" x14ac:dyDescent="0.25">
      <c r="A100" t="str">
        <f>'Исх. данные'!D100</f>
        <v>gas</v>
      </c>
      <c r="B100" t="str">
        <f>'Исх. данные'!F100</f>
        <v>four</v>
      </c>
    </row>
    <row r="101" spans="1:2" x14ac:dyDescent="0.25">
      <c r="A101" t="str">
        <f>'Исх. данные'!D101</f>
        <v>gas</v>
      </c>
      <c r="B101" t="str">
        <f>'Исх. данные'!F101</f>
        <v>four</v>
      </c>
    </row>
    <row r="102" spans="1:2" x14ac:dyDescent="0.25">
      <c r="A102" t="str">
        <f>'Исх. данные'!D102</f>
        <v>diesel</v>
      </c>
      <c r="B102" t="str">
        <f>'Исх. данные'!F102</f>
        <v>four</v>
      </c>
    </row>
    <row r="103" spans="1:2" x14ac:dyDescent="0.25">
      <c r="A103" t="str">
        <f>'Исх. данные'!D103</f>
        <v>gas</v>
      </c>
      <c r="B103" t="str">
        <f>'Исх. данные'!F103</f>
        <v>two</v>
      </c>
    </row>
    <row r="104" spans="1:2" x14ac:dyDescent="0.25">
      <c r="A104" t="str">
        <f>'Исх. данные'!D104</f>
        <v>gas</v>
      </c>
      <c r="B104" t="str">
        <f>'Исх. данные'!F104</f>
        <v>two</v>
      </c>
    </row>
    <row r="105" spans="1:2" x14ac:dyDescent="0.25">
      <c r="A105" t="str">
        <f>'Исх. данные'!D105</f>
        <v>gas</v>
      </c>
      <c r="B105" t="str">
        <f>'Исх. данные'!F105</f>
        <v>two</v>
      </c>
    </row>
    <row r="106" spans="1:2" x14ac:dyDescent="0.25">
      <c r="A106" t="str">
        <f>'Исх. данные'!D106</f>
        <v>gas</v>
      </c>
      <c r="B106" t="str">
        <f>'Исх. данные'!F106</f>
        <v>four</v>
      </c>
    </row>
    <row r="107" spans="1:2" x14ac:dyDescent="0.25">
      <c r="A107" t="str">
        <f>'Исх. данные'!D107</f>
        <v>diesel</v>
      </c>
      <c r="B107" t="str">
        <f>'Исх. данные'!F107</f>
        <v>four</v>
      </c>
    </row>
    <row r="108" spans="1:2" x14ac:dyDescent="0.25">
      <c r="A108" t="str">
        <f>'Исх. данные'!D108</f>
        <v>gas</v>
      </c>
      <c r="B108" t="str">
        <f>'Исх. данные'!F108</f>
        <v>two</v>
      </c>
    </row>
    <row r="109" spans="1:2" x14ac:dyDescent="0.25">
      <c r="A109" t="str">
        <f>'Исх. данные'!D109</f>
        <v>gas</v>
      </c>
      <c r="B109" t="str">
        <f>'Исх. данные'!F109</f>
        <v>two</v>
      </c>
    </row>
    <row r="110" spans="1:2" x14ac:dyDescent="0.25">
      <c r="A110" t="str">
        <f>'Исх. данные'!D110</f>
        <v>diesel</v>
      </c>
      <c r="B110" t="str">
        <f>'Исх. данные'!F110</f>
        <v>four</v>
      </c>
    </row>
    <row r="111" spans="1:2" x14ac:dyDescent="0.25">
      <c r="A111" t="str">
        <f>'Исх. данные'!D111</f>
        <v>gas</v>
      </c>
      <c r="B111" t="str">
        <f>'Исх. данные'!F111</f>
        <v>four</v>
      </c>
    </row>
    <row r="112" spans="1:2" x14ac:dyDescent="0.25">
      <c r="A112" t="str">
        <f>'Исх. данные'!D112</f>
        <v>diesel</v>
      </c>
      <c r="B112" t="str">
        <f>'Исх. данные'!F112</f>
        <v>two</v>
      </c>
    </row>
    <row r="113" spans="1:2" x14ac:dyDescent="0.25">
      <c r="A113" t="str">
        <f>'Исх. данные'!D113</f>
        <v>gas</v>
      </c>
      <c r="B113" t="str">
        <f>'Исх. данные'!F113</f>
        <v>four</v>
      </c>
    </row>
    <row r="114" spans="1:2" x14ac:dyDescent="0.25">
      <c r="A114" t="str">
        <f>'Исх. данные'!D114</f>
        <v>gas</v>
      </c>
      <c r="B114" t="str">
        <f>'Исх. данные'!F114</f>
        <v>two</v>
      </c>
    </row>
    <row r="115" spans="1:2" x14ac:dyDescent="0.25">
      <c r="A115" t="str">
        <f>'Исх. данные'!D115</f>
        <v>gas</v>
      </c>
      <c r="B115" t="str">
        <f>'Исх. данные'!F115</f>
        <v>four</v>
      </c>
    </row>
    <row r="116" spans="1:2" x14ac:dyDescent="0.25">
      <c r="A116" t="str">
        <f>'Исх. данные'!D116</f>
        <v>gas</v>
      </c>
      <c r="B116" t="str">
        <f>'Исх. данные'!F116</f>
        <v>four</v>
      </c>
    </row>
    <row r="117" spans="1:2" x14ac:dyDescent="0.25">
      <c r="A117" t="str">
        <f>'Исх. данные'!D117</f>
        <v>gas</v>
      </c>
      <c r="B117" t="str">
        <f>'Исх. данные'!F117</f>
        <v>two</v>
      </c>
    </row>
    <row r="118" spans="1:2" x14ac:dyDescent="0.25">
      <c r="A118" t="str">
        <f>'Исх. данные'!D118</f>
        <v>gas</v>
      </c>
      <c r="B118" t="str">
        <f>'Исх. данные'!F118</f>
        <v>four</v>
      </c>
    </row>
    <row r="119" spans="1:2" x14ac:dyDescent="0.25">
      <c r="A119" t="str">
        <f>'Исх. данные'!D119</f>
        <v>gas</v>
      </c>
      <c r="B119" t="str">
        <f>'Исх. данные'!F119</f>
        <v>four</v>
      </c>
    </row>
    <row r="120" spans="1:2" x14ac:dyDescent="0.25">
      <c r="A120" t="str">
        <f>'Исх. данные'!D120</f>
        <v>gas</v>
      </c>
      <c r="B120" t="str">
        <f>'Исх. данные'!F120</f>
        <v>four</v>
      </c>
    </row>
    <row r="121" spans="1:2" x14ac:dyDescent="0.25">
      <c r="A121" t="str">
        <f>'Исх. данные'!D121</f>
        <v>gas</v>
      </c>
      <c r="B121" t="str">
        <f>'Исх. данные'!F121</f>
        <v>four</v>
      </c>
    </row>
    <row r="122" spans="1:2" x14ac:dyDescent="0.25">
      <c r="A122" t="str">
        <f>'Исх. данные'!D122</f>
        <v>gas</v>
      </c>
      <c r="B122" t="str">
        <f>'Исх. данные'!F122</f>
        <v>two</v>
      </c>
    </row>
    <row r="123" spans="1:2" x14ac:dyDescent="0.25">
      <c r="A123" t="str">
        <f>'Исх. данные'!D123</f>
        <v>gas</v>
      </c>
      <c r="B123" t="str">
        <f>'Исх. данные'!F123</f>
        <v>four</v>
      </c>
    </row>
    <row r="124" spans="1:2" x14ac:dyDescent="0.25">
      <c r="A124" t="str">
        <f>'Исх. данные'!D124</f>
        <v>gas</v>
      </c>
      <c r="B124" t="str">
        <f>'Исх. данные'!F124</f>
        <v>four</v>
      </c>
    </row>
    <row r="125" spans="1:2" x14ac:dyDescent="0.25">
      <c r="A125" t="str">
        <f>'Исх. данные'!D125</f>
        <v>gas</v>
      </c>
      <c r="B125" t="str">
        <f>'Исх. данные'!F125</f>
        <v>four</v>
      </c>
    </row>
    <row r="126" spans="1:2" x14ac:dyDescent="0.25">
      <c r="A126" t="str">
        <f>'Исх. данные'!D126</f>
        <v>gas</v>
      </c>
      <c r="B126" t="str">
        <f>'Исх. данные'!F126</f>
        <v>two</v>
      </c>
    </row>
    <row r="127" spans="1:2" x14ac:dyDescent="0.25">
      <c r="A127" t="str">
        <f>'Исх. данные'!D127</f>
        <v>gas</v>
      </c>
      <c r="B127" t="str">
        <f>'Исх. данные'!F127</f>
        <v>four</v>
      </c>
    </row>
    <row r="128" spans="1:2" x14ac:dyDescent="0.25">
      <c r="A128" t="str">
        <f>'Исх. данные'!D128</f>
        <v>diesel</v>
      </c>
      <c r="B128" t="str">
        <f>'Исх. данные'!F128</f>
        <v>two</v>
      </c>
    </row>
    <row r="129" spans="1:2" x14ac:dyDescent="0.25">
      <c r="A129" t="str">
        <f>'Исх. данные'!D129</f>
        <v>gas</v>
      </c>
      <c r="B129" t="str">
        <f>'Исх. данные'!F129</f>
        <v>two</v>
      </c>
    </row>
    <row r="130" spans="1:2" x14ac:dyDescent="0.25">
      <c r="A130" t="str">
        <f>'Исх. данные'!D130</f>
        <v>gas</v>
      </c>
      <c r="B130" t="str">
        <f>'Исх. данные'!F130</f>
        <v>four</v>
      </c>
    </row>
    <row r="131" spans="1:2" x14ac:dyDescent="0.25">
      <c r="A131" t="str">
        <f>'Исх. данные'!D131</f>
        <v>gas</v>
      </c>
      <c r="B131" t="str">
        <f>'Исх. данные'!F131</f>
        <v>four</v>
      </c>
    </row>
    <row r="132" spans="1:2" x14ac:dyDescent="0.25">
      <c r="A132" t="str">
        <f>'Исх. данные'!D132</f>
        <v>gas</v>
      </c>
      <c r="B132" t="str">
        <f>'Исх. данные'!F132</f>
        <v>four</v>
      </c>
    </row>
    <row r="133" spans="1:2" x14ac:dyDescent="0.25">
      <c r="A133" t="str">
        <f>'Исх. данные'!D133</f>
        <v>gas</v>
      </c>
      <c r="B133" t="str">
        <f>'Исх. данные'!F133</f>
        <v>two</v>
      </c>
    </row>
    <row r="134" spans="1:2" x14ac:dyDescent="0.25">
      <c r="A134" t="str">
        <f>'Исх. данные'!D134</f>
        <v>gas</v>
      </c>
      <c r="B134" t="str">
        <f>'Исх. данные'!F134</f>
        <v>four</v>
      </c>
    </row>
    <row r="135" spans="1:2" x14ac:dyDescent="0.25">
      <c r="A135" t="str">
        <f>'Исх. данные'!D135</f>
        <v>gas</v>
      </c>
      <c r="B135" t="str">
        <f>'Исх. данные'!F135</f>
        <v>two</v>
      </c>
    </row>
    <row r="136" spans="1:2" x14ac:dyDescent="0.25">
      <c r="A136" t="str">
        <f>'Исх. данные'!D136</f>
        <v>gas</v>
      </c>
      <c r="B136" t="str">
        <f>'Исх. данные'!F136</f>
        <v>four</v>
      </c>
    </row>
    <row r="137" spans="1:2" x14ac:dyDescent="0.25">
      <c r="A137" t="str">
        <f>'Исх. данные'!D137</f>
        <v>gas</v>
      </c>
      <c r="B137" t="str">
        <f>'Исх. данные'!F137</f>
        <v>four</v>
      </c>
    </row>
    <row r="138" spans="1:2" x14ac:dyDescent="0.25">
      <c r="A138" t="str">
        <f>'Исх. данные'!D138</f>
        <v>gas</v>
      </c>
      <c r="B138" t="str">
        <f>'Исх. данные'!F138</f>
        <v>four</v>
      </c>
    </row>
    <row r="139" spans="1:2" x14ac:dyDescent="0.25">
      <c r="A139" t="str">
        <f>'Исх. данные'!D139</f>
        <v>gas</v>
      </c>
      <c r="B139" t="str">
        <f>'Исх. данные'!F139</f>
        <v>two</v>
      </c>
    </row>
    <row r="140" spans="1:2" x14ac:dyDescent="0.25">
      <c r="A140" t="str">
        <f>'Исх. данные'!D140</f>
        <v>gas</v>
      </c>
      <c r="B140" t="str">
        <f>'Исх. данные'!F140</f>
        <v>two</v>
      </c>
    </row>
    <row r="141" spans="1:2" x14ac:dyDescent="0.25">
      <c r="A141" t="str">
        <f>'Исх. данные'!D141</f>
        <v>gas</v>
      </c>
      <c r="B141" t="str">
        <f>'Исх. данные'!F141</f>
        <v>four</v>
      </c>
    </row>
    <row r="142" spans="1:2" x14ac:dyDescent="0.25">
      <c r="A142" t="str">
        <f>'Исх. данные'!D142</f>
        <v>gas</v>
      </c>
      <c r="B142" t="str">
        <f>'Исх. данные'!F142</f>
        <v>two</v>
      </c>
    </row>
    <row r="143" spans="1:2" x14ac:dyDescent="0.25">
      <c r="A143" t="str">
        <f>'Исх. данные'!D143</f>
        <v>gas</v>
      </c>
      <c r="B143" t="str">
        <f>'Исх. данные'!F143</f>
        <v>four</v>
      </c>
    </row>
    <row r="144" spans="1:2" x14ac:dyDescent="0.25">
      <c r="A144" t="str">
        <f>'Исх. данные'!D144</f>
        <v>gas</v>
      </c>
      <c r="B144" t="str">
        <f>'Исх. данные'!F144</f>
        <v>two</v>
      </c>
    </row>
    <row r="145" spans="1:2" x14ac:dyDescent="0.25">
      <c r="A145" t="str">
        <f>'Исх. данные'!D145</f>
        <v>gas</v>
      </c>
      <c r="B145" t="str">
        <f>'Исх. данные'!F145</f>
        <v>two</v>
      </c>
    </row>
    <row r="146" spans="1:2" x14ac:dyDescent="0.25">
      <c r="A146" t="str">
        <f>'Исх. данные'!D146</f>
        <v>gas</v>
      </c>
      <c r="B146" t="str">
        <f>'Исх. данные'!F146</f>
        <v>two</v>
      </c>
    </row>
    <row r="147" spans="1:2" x14ac:dyDescent="0.25">
      <c r="A147" t="str">
        <f>'Исх. данные'!D147</f>
        <v>gas</v>
      </c>
      <c r="B147" t="str">
        <f>'Исх. данные'!F147</f>
        <v>two</v>
      </c>
    </row>
    <row r="148" spans="1:2" x14ac:dyDescent="0.25">
      <c r="A148" t="str">
        <f>'Исх. данные'!D148</f>
        <v>gas</v>
      </c>
      <c r="B148" t="str">
        <f>'Исх. данные'!F148</f>
        <v>four</v>
      </c>
    </row>
    <row r="149" spans="1:2" x14ac:dyDescent="0.25">
      <c r="A149" t="str">
        <f>'Исх. данные'!D149</f>
        <v>gas</v>
      </c>
      <c r="B149" t="str">
        <f>'Исх. данные'!F149</f>
        <v>four</v>
      </c>
    </row>
    <row r="150" spans="1:2" x14ac:dyDescent="0.25">
      <c r="A150" t="str">
        <f>'Исх. данные'!D150</f>
        <v>gas</v>
      </c>
      <c r="B150" t="str">
        <f>'Исх. данные'!F150</f>
        <v>two</v>
      </c>
    </row>
    <row r="151" spans="1:2" x14ac:dyDescent="0.25">
      <c r="A151" t="str">
        <f>'Исх. данные'!D151</f>
        <v>gas</v>
      </c>
      <c r="B151" t="str">
        <f>'Исх. данные'!F151</f>
        <v>two</v>
      </c>
    </row>
    <row r="152" spans="1:2" x14ac:dyDescent="0.25">
      <c r="A152" t="str">
        <f>'Исх. данные'!D152</f>
        <v>gas</v>
      </c>
      <c r="B152" t="str">
        <f>'Исх. данные'!F152</f>
        <v>two</v>
      </c>
    </row>
    <row r="153" spans="1:2" x14ac:dyDescent="0.25">
      <c r="A153" t="str">
        <f>'Исх. данные'!D153</f>
        <v>gas</v>
      </c>
      <c r="B153" t="str">
        <f>'Исх. данные'!F153</f>
        <v>two</v>
      </c>
    </row>
    <row r="154" spans="1:2" x14ac:dyDescent="0.25">
      <c r="A154" t="str">
        <f>'Исх. данные'!D154</f>
        <v>gas</v>
      </c>
      <c r="B154" t="str">
        <f>'Исх. данные'!F154</f>
        <v>two</v>
      </c>
    </row>
    <row r="155" spans="1:2" x14ac:dyDescent="0.25">
      <c r="A155" t="str">
        <f>'Исх. данные'!D155</f>
        <v>gas</v>
      </c>
      <c r="B155" t="str">
        <f>'Исх. данные'!F155</f>
        <v>two</v>
      </c>
    </row>
    <row r="156" spans="1:2" x14ac:dyDescent="0.25">
      <c r="A156" t="str">
        <f>'Исх. данные'!D156</f>
        <v>gas</v>
      </c>
      <c r="B156" t="str">
        <f>'Исх. данные'!F156</f>
        <v>two</v>
      </c>
    </row>
    <row r="157" spans="1:2" x14ac:dyDescent="0.25">
      <c r="A157" t="str">
        <f>'Исх. данные'!D157</f>
        <v>gas</v>
      </c>
      <c r="B157" t="str">
        <f>'Исх. данные'!F157</f>
        <v>two</v>
      </c>
    </row>
    <row r="158" spans="1:2" x14ac:dyDescent="0.25">
      <c r="A158" t="str">
        <f>'Исх. данные'!D158</f>
        <v>gas</v>
      </c>
      <c r="B158" t="str">
        <f>'Исх. данные'!F158</f>
        <v>two</v>
      </c>
    </row>
    <row r="159" spans="1:2" x14ac:dyDescent="0.25">
      <c r="A159" t="str">
        <f>'Исх. данные'!D159</f>
        <v>gas</v>
      </c>
      <c r="B159" t="str">
        <f>'Исх. данные'!F159</f>
        <v>two</v>
      </c>
    </row>
    <row r="160" spans="1:2" x14ac:dyDescent="0.25">
      <c r="A160" t="str">
        <f>'Исх. данные'!D160</f>
        <v>gas</v>
      </c>
      <c r="B160" t="str">
        <f>'Исх. данные'!F160</f>
        <v>two</v>
      </c>
    </row>
  </sheetData>
  <mergeCells count="8">
    <mergeCell ref="N8:Q8"/>
    <mergeCell ref="N13:O13"/>
    <mergeCell ref="Q13:R13"/>
    <mergeCell ref="N20:Q20"/>
    <mergeCell ref="D1:G1"/>
    <mergeCell ref="N1:O1"/>
    <mergeCell ref="J1:K1"/>
    <mergeCell ref="Q1:R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60"/>
  <sheetViews>
    <sheetView workbookViewId="0">
      <selection activeCell="K1" sqref="K1:P1"/>
    </sheetView>
  </sheetViews>
  <sheetFormatPr defaultRowHeight="15" x14ac:dyDescent="0.25"/>
  <cols>
    <col min="1" max="1" width="11.140625" customWidth="1"/>
    <col min="2" max="2" width="21.28515625" customWidth="1"/>
    <col min="3" max="4" width="9.140625" customWidth="1"/>
    <col min="6" max="6" width="9.140625" customWidth="1"/>
    <col min="7" max="7" width="17" customWidth="1"/>
  </cols>
  <sheetData>
    <row r="1" spans="1:16" ht="18.75" x14ac:dyDescent="0.3">
      <c r="A1" s="3" t="str">
        <f>'Исх. данные'!AC1</f>
        <v>engine-size</v>
      </c>
      <c r="B1" t="s">
        <v>136</v>
      </c>
      <c r="C1" s="3" t="str">
        <f>'Исх. данные'!AE1</f>
        <v>price</v>
      </c>
      <c r="G1" t="s">
        <v>137</v>
      </c>
      <c r="H1" s="3">
        <f>MIN(A2:A160)</f>
        <v>61</v>
      </c>
      <c r="K1" s="27"/>
      <c r="L1" s="27"/>
      <c r="M1" s="27"/>
      <c r="N1" s="27"/>
      <c r="O1" s="27"/>
      <c r="P1" s="27"/>
    </row>
    <row r="2" spans="1:16" x14ac:dyDescent="0.25">
      <c r="A2" s="3">
        <f>'Исх. данные'!AC2</f>
        <v>234</v>
      </c>
      <c r="B2">
        <f>IF(A2&lt;$H$4, 1, IF(A2&lt;$H$5, 2, 3))</f>
        <v>3</v>
      </c>
      <c r="C2" s="3">
        <f>'Исх. данные'!AE2</f>
        <v>35056</v>
      </c>
      <c r="G2" t="s">
        <v>138</v>
      </c>
      <c r="H2" s="3">
        <f>MAX(A2:A160)</f>
        <v>258</v>
      </c>
    </row>
    <row r="3" spans="1:16" x14ac:dyDescent="0.25">
      <c r="A3" s="3">
        <f>'Исх. данные'!AC3</f>
        <v>258</v>
      </c>
      <c r="B3">
        <f t="shared" ref="B3:B66" si="0">IF(A3&lt;$H$4, 1, IF(A3&lt;$H$5, 2, 3))</f>
        <v>3</v>
      </c>
      <c r="C3" s="3">
        <f>'Исх. данные'!AE3</f>
        <v>32250</v>
      </c>
    </row>
    <row r="4" spans="1:16" x14ac:dyDescent="0.25">
      <c r="A4" s="3">
        <f>'Исх. данные'!AC4</f>
        <v>183</v>
      </c>
      <c r="B4">
        <f t="shared" si="0"/>
        <v>2</v>
      </c>
      <c r="C4" s="3">
        <f>'Исх. данные'!AE4</f>
        <v>31600</v>
      </c>
      <c r="G4" t="s">
        <v>139</v>
      </c>
      <c r="H4">
        <f>(H2-H1)/3 + H1</f>
        <v>126.66666666666667</v>
      </c>
    </row>
    <row r="5" spans="1:16" x14ac:dyDescent="0.25">
      <c r="A5" s="3">
        <f>'Исх. данные'!AC5</f>
        <v>183</v>
      </c>
      <c r="B5">
        <f t="shared" si="0"/>
        <v>2</v>
      </c>
      <c r="C5" s="3">
        <f>'Исх. данные'!AE5</f>
        <v>28248</v>
      </c>
      <c r="G5" t="s">
        <v>140</v>
      </c>
      <c r="H5">
        <f>(H2-H1)/3 + 2 * H1</f>
        <v>187.66666666666669</v>
      </c>
    </row>
    <row r="6" spans="1:16" x14ac:dyDescent="0.25">
      <c r="A6" s="3">
        <f>'Исх. данные'!AC6</f>
        <v>183</v>
      </c>
      <c r="B6">
        <f t="shared" si="0"/>
        <v>2</v>
      </c>
      <c r="C6" s="3">
        <f>'Исх. данные'!AE6</f>
        <v>28176</v>
      </c>
    </row>
    <row r="7" spans="1:16" x14ac:dyDescent="0.25">
      <c r="A7" s="3">
        <f>'Исх. данные'!AC7</f>
        <v>183</v>
      </c>
      <c r="B7">
        <f t="shared" si="0"/>
        <v>2</v>
      </c>
      <c r="C7" s="3">
        <f>'Исх. данные'!AE7</f>
        <v>25552</v>
      </c>
    </row>
    <row r="8" spans="1:16" x14ac:dyDescent="0.25">
      <c r="A8" s="3">
        <f>'Исх. данные'!AC8</f>
        <v>131</v>
      </c>
      <c r="B8">
        <f t="shared" si="0"/>
        <v>2</v>
      </c>
      <c r="C8" s="3">
        <f>'Исх. данные'!AE8</f>
        <v>23875</v>
      </c>
      <c r="G8" t="s">
        <v>141</v>
      </c>
    </row>
    <row r="9" spans="1:16" x14ac:dyDescent="0.25">
      <c r="A9" s="3">
        <f>'Исх. данные'!AC9</f>
        <v>141</v>
      </c>
      <c r="B9">
        <f t="shared" si="0"/>
        <v>2</v>
      </c>
      <c r="C9" s="3">
        <f>'Исх. данные'!AE9</f>
        <v>22625</v>
      </c>
      <c r="G9" t="s">
        <v>142</v>
      </c>
    </row>
    <row r="10" spans="1:16" x14ac:dyDescent="0.25">
      <c r="A10" s="3">
        <f>'Исх. данные'!AC10</f>
        <v>145</v>
      </c>
      <c r="B10">
        <f t="shared" si="0"/>
        <v>2</v>
      </c>
      <c r="C10" s="3">
        <f>'Исх. данные'!AE10</f>
        <v>22470</v>
      </c>
      <c r="G10" t="s">
        <v>143</v>
      </c>
    </row>
    <row r="11" spans="1:16" x14ac:dyDescent="0.25">
      <c r="A11" s="3">
        <f>'Исх. данные'!AC11</f>
        <v>151</v>
      </c>
      <c r="B11">
        <f t="shared" si="0"/>
        <v>2</v>
      </c>
      <c r="C11" s="3">
        <f>'Исх. данные'!AE11</f>
        <v>22018</v>
      </c>
    </row>
    <row r="12" spans="1:16" x14ac:dyDescent="0.25">
      <c r="A12" s="3">
        <f>'Исх. данные'!AC12</f>
        <v>173</v>
      </c>
      <c r="B12">
        <f t="shared" si="0"/>
        <v>2</v>
      </c>
      <c r="C12" s="3">
        <f>'Исх. данные'!AE12</f>
        <v>21485</v>
      </c>
    </row>
    <row r="13" spans="1:16" x14ac:dyDescent="0.25">
      <c r="A13" s="3">
        <f>'Исх. данные'!AC13</f>
        <v>164</v>
      </c>
      <c r="B13">
        <f t="shared" si="0"/>
        <v>2</v>
      </c>
      <c r="C13" s="3">
        <f>'Исх. данные'!AE13</f>
        <v>21105</v>
      </c>
    </row>
    <row r="14" spans="1:16" x14ac:dyDescent="0.25">
      <c r="A14" s="3">
        <f>'Исх. данные'!AC14</f>
        <v>164</v>
      </c>
      <c r="B14">
        <f t="shared" si="0"/>
        <v>2</v>
      </c>
      <c r="C14" s="3">
        <f>'Исх. данные'!AE14</f>
        <v>20970</v>
      </c>
    </row>
    <row r="15" spans="1:16" x14ac:dyDescent="0.25">
      <c r="A15" s="3">
        <f>'Исх. данные'!AC15</f>
        <v>181</v>
      </c>
      <c r="B15">
        <f t="shared" si="0"/>
        <v>2</v>
      </c>
      <c r="C15" s="3">
        <f>'Исх. данные'!AE15</f>
        <v>19699</v>
      </c>
    </row>
    <row r="16" spans="1:16" x14ac:dyDescent="0.25">
      <c r="A16" s="3">
        <f>'Исх. данные'!AC16</f>
        <v>141</v>
      </c>
      <c r="B16">
        <f t="shared" si="0"/>
        <v>2</v>
      </c>
      <c r="C16" s="3">
        <f>'Исх. данные'!AE16</f>
        <v>19045</v>
      </c>
    </row>
    <row r="17" spans="1:3" x14ac:dyDescent="0.25">
      <c r="A17" s="3">
        <f>'Исх. данные'!AC17</f>
        <v>130</v>
      </c>
      <c r="B17">
        <f t="shared" si="0"/>
        <v>2</v>
      </c>
      <c r="C17" s="3">
        <f>'Исх. данные'!AE17</f>
        <v>18950</v>
      </c>
    </row>
    <row r="18" spans="1:3" x14ac:dyDescent="0.25">
      <c r="A18" s="3">
        <f>'Исх. данные'!AC18</f>
        <v>121</v>
      </c>
      <c r="B18">
        <f t="shared" si="0"/>
        <v>1</v>
      </c>
      <c r="C18" s="3">
        <f>'Исх. данные'!AE18</f>
        <v>18620</v>
      </c>
    </row>
    <row r="19" spans="1:3" x14ac:dyDescent="0.25">
      <c r="A19" s="3">
        <f>'Исх. данные'!AC19</f>
        <v>130</v>
      </c>
      <c r="B19">
        <f t="shared" si="0"/>
        <v>2</v>
      </c>
      <c r="C19" s="3">
        <f>'Исх. данные'!AE19</f>
        <v>18420</v>
      </c>
    </row>
    <row r="20" spans="1:3" x14ac:dyDescent="0.25">
      <c r="A20" s="3">
        <f>'Исх. данные'!AC20</f>
        <v>181</v>
      </c>
      <c r="B20">
        <f t="shared" si="0"/>
        <v>2</v>
      </c>
      <c r="C20" s="3">
        <f>'Исх. данные'!AE20</f>
        <v>18399</v>
      </c>
    </row>
    <row r="21" spans="1:3" x14ac:dyDescent="0.25">
      <c r="A21" s="3">
        <f>'Исх. данные'!AC21</f>
        <v>140</v>
      </c>
      <c r="B21">
        <f t="shared" si="0"/>
        <v>2</v>
      </c>
      <c r="C21" s="3">
        <f>'Исх. данные'!AE21</f>
        <v>18280</v>
      </c>
    </row>
    <row r="22" spans="1:3" x14ac:dyDescent="0.25">
      <c r="A22" s="3">
        <f>'Исх. данные'!AC22</f>
        <v>134</v>
      </c>
      <c r="B22">
        <f t="shared" si="0"/>
        <v>2</v>
      </c>
      <c r="C22" s="3">
        <f>'Исх. данные'!AE22</f>
        <v>18150</v>
      </c>
    </row>
    <row r="23" spans="1:3" x14ac:dyDescent="0.25">
      <c r="A23" s="3">
        <f>'Исх. данные'!AC23</f>
        <v>121</v>
      </c>
      <c r="B23">
        <f t="shared" si="0"/>
        <v>1</v>
      </c>
      <c r="C23" s="3">
        <f>'Исх. данные'!AE23</f>
        <v>18150</v>
      </c>
    </row>
    <row r="24" spans="1:3" x14ac:dyDescent="0.25">
      <c r="A24" s="3">
        <f>'Исх. данные'!AC24</f>
        <v>152</v>
      </c>
      <c r="B24">
        <f t="shared" si="0"/>
        <v>2</v>
      </c>
      <c r="C24" s="3">
        <f>'Исх. данные'!AE24</f>
        <v>17950</v>
      </c>
    </row>
    <row r="25" spans="1:3" x14ac:dyDescent="0.25">
      <c r="A25" s="3">
        <f>'Исх. данные'!AC25</f>
        <v>136</v>
      </c>
      <c r="B25">
        <f t="shared" si="0"/>
        <v>2</v>
      </c>
      <c r="C25" s="3">
        <f>'Исх. данные'!AE25</f>
        <v>17710</v>
      </c>
    </row>
    <row r="26" spans="1:3" x14ac:dyDescent="0.25">
      <c r="A26" s="3">
        <f>'Исх. данные'!AC26</f>
        <v>146</v>
      </c>
      <c r="B26">
        <f t="shared" si="0"/>
        <v>2</v>
      </c>
      <c r="C26" s="3">
        <f>'Исх. данные'!AE26</f>
        <v>17669</v>
      </c>
    </row>
    <row r="27" spans="1:3" x14ac:dyDescent="0.25">
      <c r="A27" s="3">
        <f>'Исх. данные'!AC27</f>
        <v>136</v>
      </c>
      <c r="B27">
        <f t="shared" si="0"/>
        <v>2</v>
      </c>
      <c r="C27" s="3">
        <f>'Исх. данные'!AE27</f>
        <v>17450</v>
      </c>
    </row>
    <row r="28" spans="1:3" x14ac:dyDescent="0.25">
      <c r="A28" s="3">
        <f>'Исх. данные'!AC28</f>
        <v>181</v>
      </c>
      <c r="B28">
        <f t="shared" si="0"/>
        <v>2</v>
      </c>
      <c r="C28" s="3">
        <f>'Исх. данные'!AE28</f>
        <v>17199</v>
      </c>
    </row>
    <row r="29" spans="1:3" x14ac:dyDescent="0.25">
      <c r="A29" s="3">
        <f>'Исх. данные'!AC29</f>
        <v>108</v>
      </c>
      <c r="B29">
        <f t="shared" si="0"/>
        <v>1</v>
      </c>
      <c r="C29" s="3">
        <f>'Исх. данные'!AE29</f>
        <v>16925</v>
      </c>
    </row>
    <row r="30" spans="1:3" x14ac:dyDescent="0.25">
      <c r="A30" s="3">
        <f>'Исх. данные'!AC30</f>
        <v>152</v>
      </c>
      <c r="B30">
        <f t="shared" si="0"/>
        <v>2</v>
      </c>
      <c r="C30" s="3">
        <f>'Исх. данные'!AE30</f>
        <v>16900</v>
      </c>
    </row>
    <row r="31" spans="1:3" x14ac:dyDescent="0.25">
      <c r="A31" s="3">
        <f>'Исх. данные'!AC31</f>
        <v>141</v>
      </c>
      <c r="B31">
        <f t="shared" si="0"/>
        <v>2</v>
      </c>
      <c r="C31" s="3">
        <f>'Исх. данные'!AE31</f>
        <v>16845</v>
      </c>
    </row>
    <row r="32" spans="1:3" x14ac:dyDescent="0.25">
      <c r="A32" s="3">
        <f>'Исх. данные'!AC32</f>
        <v>120</v>
      </c>
      <c r="B32">
        <f t="shared" si="0"/>
        <v>1</v>
      </c>
      <c r="C32" s="3">
        <f>'Исх. данные'!AE32</f>
        <v>16630</v>
      </c>
    </row>
    <row r="33" spans="1:3" x14ac:dyDescent="0.25">
      <c r="A33" s="3">
        <f>'Исх. данные'!AC33</f>
        <v>171</v>
      </c>
      <c r="B33">
        <f t="shared" si="0"/>
        <v>2</v>
      </c>
      <c r="C33" s="3">
        <f>'Исх. данные'!AE33</f>
        <v>16558</v>
      </c>
    </row>
    <row r="34" spans="1:3" x14ac:dyDescent="0.25">
      <c r="A34" s="3">
        <f>'Исх. данные'!AC34</f>
        <v>141</v>
      </c>
      <c r="B34">
        <f t="shared" si="0"/>
        <v>2</v>
      </c>
      <c r="C34" s="3">
        <f>'Исх. данные'!AE34</f>
        <v>16515</v>
      </c>
    </row>
    <row r="35" spans="1:3" x14ac:dyDescent="0.25">
      <c r="A35" s="3">
        <f>'Исх. данные'!AC35</f>
        <v>108</v>
      </c>
      <c r="B35">
        <f t="shared" si="0"/>
        <v>1</v>
      </c>
      <c r="C35" s="3">
        <f>'Исх. данные'!AE35</f>
        <v>16430</v>
      </c>
    </row>
    <row r="36" spans="1:3" x14ac:dyDescent="0.25">
      <c r="A36" s="3">
        <f>'Исх. данные'!AC36</f>
        <v>171</v>
      </c>
      <c r="B36">
        <f t="shared" si="0"/>
        <v>2</v>
      </c>
      <c r="C36" s="3">
        <f>'Исх. данные'!AE36</f>
        <v>15998</v>
      </c>
    </row>
    <row r="37" spans="1:3" x14ac:dyDescent="0.25">
      <c r="A37" s="3">
        <f>'Исх. данные'!AC37</f>
        <v>141</v>
      </c>
      <c r="B37">
        <f t="shared" si="0"/>
        <v>2</v>
      </c>
      <c r="C37" s="3">
        <f>'Исх. данные'!AE37</f>
        <v>15985</v>
      </c>
    </row>
    <row r="38" spans="1:3" x14ac:dyDescent="0.25">
      <c r="A38" s="3">
        <f>'Исх. данные'!AC38</f>
        <v>171</v>
      </c>
      <c r="B38">
        <f t="shared" si="0"/>
        <v>2</v>
      </c>
      <c r="C38" s="3">
        <f>'Исх. данные'!AE38</f>
        <v>15690</v>
      </c>
    </row>
    <row r="39" spans="1:3" x14ac:dyDescent="0.25">
      <c r="A39" s="3">
        <f>'Исх. данные'!AC39</f>
        <v>120</v>
      </c>
      <c r="B39">
        <f t="shared" si="0"/>
        <v>1</v>
      </c>
      <c r="C39" s="3">
        <f>'Исх. данные'!AE39</f>
        <v>15580</v>
      </c>
    </row>
    <row r="40" spans="1:3" x14ac:dyDescent="0.25">
      <c r="A40" s="3">
        <f>'Исх. данные'!AC40</f>
        <v>121</v>
      </c>
      <c r="B40">
        <f t="shared" si="0"/>
        <v>1</v>
      </c>
      <c r="C40" s="3">
        <f>'Исх. данные'!AE40</f>
        <v>15510</v>
      </c>
    </row>
    <row r="41" spans="1:3" x14ac:dyDescent="0.25">
      <c r="A41" s="3">
        <f>'Исх. данные'!AC41</f>
        <v>121</v>
      </c>
      <c r="B41">
        <f t="shared" si="0"/>
        <v>1</v>
      </c>
      <c r="C41" s="3">
        <f>'Исх. данные'!AE41</f>
        <v>15040</v>
      </c>
    </row>
    <row r="42" spans="1:3" x14ac:dyDescent="0.25">
      <c r="A42" s="3">
        <f>'Исх. данные'!AC42</f>
        <v>181</v>
      </c>
      <c r="B42">
        <f t="shared" si="0"/>
        <v>2</v>
      </c>
      <c r="C42" s="3">
        <f>'Исх. данные'!AE42</f>
        <v>14399</v>
      </c>
    </row>
    <row r="43" spans="1:3" x14ac:dyDescent="0.25">
      <c r="A43" s="3">
        <f>'Исх. данные'!AC43</f>
        <v>109</v>
      </c>
      <c r="B43">
        <f t="shared" si="0"/>
        <v>1</v>
      </c>
      <c r="C43" s="3">
        <f>'Исх. данные'!AE43</f>
        <v>13950</v>
      </c>
    </row>
    <row r="44" spans="1:3" x14ac:dyDescent="0.25">
      <c r="A44" s="3">
        <f>'Исх. данные'!AC44</f>
        <v>181</v>
      </c>
      <c r="B44">
        <f t="shared" si="0"/>
        <v>2</v>
      </c>
      <c r="C44" s="3">
        <f>'Исх. данные'!AE44</f>
        <v>13499</v>
      </c>
    </row>
    <row r="45" spans="1:3" x14ac:dyDescent="0.25">
      <c r="A45" s="3">
        <f>'Исх. данные'!AC45</f>
        <v>181</v>
      </c>
      <c r="B45">
        <f t="shared" si="0"/>
        <v>2</v>
      </c>
      <c r="C45" s="3">
        <f>'Исх. данные'!AE45</f>
        <v>13499</v>
      </c>
    </row>
    <row r="46" spans="1:3" x14ac:dyDescent="0.25">
      <c r="A46" s="3">
        <f>'Исх. данные'!AC46</f>
        <v>141</v>
      </c>
      <c r="B46">
        <f t="shared" si="0"/>
        <v>2</v>
      </c>
      <c r="C46" s="3">
        <f>'Исх. данные'!AE46</f>
        <v>13415</v>
      </c>
    </row>
    <row r="47" spans="1:3" x14ac:dyDescent="0.25">
      <c r="A47" s="3">
        <f>'Исх. данные'!AC47</f>
        <v>152</v>
      </c>
      <c r="B47">
        <f t="shared" si="0"/>
        <v>2</v>
      </c>
      <c r="C47" s="3">
        <f>'Исх. данные'!AE47</f>
        <v>13200</v>
      </c>
    </row>
    <row r="48" spans="1:3" x14ac:dyDescent="0.25">
      <c r="A48" s="3">
        <f>'Исх. данные'!AC48</f>
        <v>156</v>
      </c>
      <c r="B48">
        <f t="shared" si="0"/>
        <v>2</v>
      </c>
      <c r="C48" s="3">
        <f>'Исх. данные'!AE48</f>
        <v>12964</v>
      </c>
    </row>
    <row r="49" spans="1:3" x14ac:dyDescent="0.25">
      <c r="A49" s="3">
        <f>'Исх. данные'!AC49</f>
        <v>110</v>
      </c>
      <c r="B49">
        <f t="shared" si="0"/>
        <v>1</v>
      </c>
      <c r="C49" s="3">
        <f>'Исх. данные'!AE49</f>
        <v>12945</v>
      </c>
    </row>
    <row r="50" spans="1:3" x14ac:dyDescent="0.25">
      <c r="A50" s="3">
        <f>'Исх. данные'!AC50</f>
        <v>141</v>
      </c>
      <c r="B50">
        <f t="shared" si="0"/>
        <v>2</v>
      </c>
      <c r="C50" s="3">
        <f>'Исх. данные'!AE50</f>
        <v>12940</v>
      </c>
    </row>
    <row r="51" spans="1:3" x14ac:dyDescent="0.25">
      <c r="A51" s="3">
        <f>'Исх. данные'!AC51</f>
        <v>121</v>
      </c>
      <c r="B51">
        <f t="shared" si="0"/>
        <v>1</v>
      </c>
      <c r="C51" s="3">
        <f>'Исх. данные'!AE51</f>
        <v>12170</v>
      </c>
    </row>
    <row r="52" spans="1:3" x14ac:dyDescent="0.25">
      <c r="A52" s="3">
        <f>'Исх. данные'!AC52</f>
        <v>120</v>
      </c>
      <c r="B52">
        <f t="shared" si="0"/>
        <v>1</v>
      </c>
      <c r="C52" s="3">
        <f>'Исх. данные'!AE52</f>
        <v>11900</v>
      </c>
    </row>
    <row r="53" spans="1:3" x14ac:dyDescent="0.25">
      <c r="A53" s="3">
        <f>'Исх. данные'!AC53</f>
        <v>121</v>
      </c>
      <c r="B53">
        <f t="shared" si="0"/>
        <v>1</v>
      </c>
      <c r="C53" s="3">
        <f>'Исх. данные'!AE53</f>
        <v>11850</v>
      </c>
    </row>
    <row r="54" spans="1:3" x14ac:dyDescent="0.25">
      <c r="A54" s="3">
        <f>'Исх. данные'!AC54</f>
        <v>108</v>
      </c>
      <c r="B54">
        <f t="shared" si="0"/>
        <v>1</v>
      </c>
      <c r="C54" s="3">
        <f>'Исх. данные'!AE54</f>
        <v>11694</v>
      </c>
    </row>
    <row r="55" spans="1:3" x14ac:dyDescent="0.25">
      <c r="A55" s="3">
        <f>'Исх. данные'!AC55</f>
        <v>146</v>
      </c>
      <c r="B55">
        <f t="shared" si="0"/>
        <v>2</v>
      </c>
      <c r="C55" s="3">
        <f>'Исх. данные'!AE55</f>
        <v>11549</v>
      </c>
    </row>
    <row r="56" spans="1:3" x14ac:dyDescent="0.25">
      <c r="A56" s="3">
        <f>'Исх. данные'!AC56</f>
        <v>108</v>
      </c>
      <c r="B56">
        <f t="shared" si="0"/>
        <v>1</v>
      </c>
      <c r="C56" s="3">
        <f>'Исх. данные'!AE56</f>
        <v>11259</v>
      </c>
    </row>
    <row r="57" spans="1:3" x14ac:dyDescent="0.25">
      <c r="A57" s="3">
        <f>'Исх. данные'!AC57</f>
        <v>122</v>
      </c>
      <c r="B57">
        <f t="shared" si="0"/>
        <v>1</v>
      </c>
      <c r="C57" s="3">
        <f>'Исх. данные'!AE57</f>
        <v>11248</v>
      </c>
    </row>
    <row r="58" spans="1:3" x14ac:dyDescent="0.25">
      <c r="A58" s="3">
        <f>'Исх. данные'!AC58</f>
        <v>122</v>
      </c>
      <c r="B58">
        <f t="shared" si="0"/>
        <v>1</v>
      </c>
      <c r="C58" s="3">
        <f>'Исх. данные'!AE58</f>
        <v>11245</v>
      </c>
    </row>
    <row r="59" spans="1:3" x14ac:dyDescent="0.25">
      <c r="A59" s="3">
        <f>'Исх. данные'!AC59</f>
        <v>146</v>
      </c>
      <c r="B59">
        <f t="shared" si="0"/>
        <v>2</v>
      </c>
      <c r="C59" s="3">
        <f>'Исх. данные'!AE59</f>
        <v>11199</v>
      </c>
    </row>
    <row r="60" spans="1:3" x14ac:dyDescent="0.25">
      <c r="A60" s="3">
        <f>'Исх. данные'!AC60</f>
        <v>122</v>
      </c>
      <c r="B60">
        <f t="shared" si="0"/>
        <v>1</v>
      </c>
      <c r="C60" s="3">
        <f>'Исх. данные'!AE60</f>
        <v>10898</v>
      </c>
    </row>
    <row r="61" spans="1:3" x14ac:dyDescent="0.25">
      <c r="A61" s="3">
        <f>'Исх. данные'!AC61</f>
        <v>110</v>
      </c>
      <c r="B61">
        <f t="shared" si="0"/>
        <v>1</v>
      </c>
      <c r="C61" s="3">
        <f>'Исх. данные'!AE61</f>
        <v>10698</v>
      </c>
    </row>
    <row r="62" spans="1:3" x14ac:dyDescent="0.25">
      <c r="A62" s="3">
        <f>'Исх. данные'!AC62</f>
        <v>122</v>
      </c>
      <c r="B62">
        <f t="shared" si="0"/>
        <v>1</v>
      </c>
      <c r="C62" s="3">
        <f>'Исх. данные'!AE62</f>
        <v>10595</v>
      </c>
    </row>
    <row r="63" spans="1:3" x14ac:dyDescent="0.25">
      <c r="A63" s="3">
        <f>'Исх. данные'!AC63</f>
        <v>110</v>
      </c>
      <c r="B63">
        <f t="shared" si="0"/>
        <v>1</v>
      </c>
      <c r="C63" s="3">
        <f>'Исх. данные'!AE63</f>
        <v>10345</v>
      </c>
    </row>
    <row r="64" spans="1:3" x14ac:dyDescent="0.25">
      <c r="A64" s="3">
        <f>'Исх. данные'!AC64</f>
        <v>110</v>
      </c>
      <c r="B64">
        <f t="shared" si="0"/>
        <v>1</v>
      </c>
      <c r="C64" s="3">
        <f>'Исх. данные'!AE64</f>
        <v>10295</v>
      </c>
    </row>
    <row r="65" spans="1:3" x14ac:dyDescent="0.25">
      <c r="A65" s="3">
        <f>'Исх. данные'!AC65</f>
        <v>122</v>
      </c>
      <c r="B65">
        <f t="shared" si="0"/>
        <v>1</v>
      </c>
      <c r="C65" s="3">
        <f>'Исх. данные'!AE65</f>
        <v>10245</v>
      </c>
    </row>
    <row r="66" spans="1:3" x14ac:dyDescent="0.25">
      <c r="A66" s="3">
        <f>'Исх. данные'!AC66</f>
        <v>108</v>
      </c>
      <c r="B66">
        <f t="shared" si="0"/>
        <v>1</v>
      </c>
      <c r="C66" s="3">
        <f>'Исх. данные'!AE66</f>
        <v>10198</v>
      </c>
    </row>
    <row r="67" spans="1:3" x14ac:dyDescent="0.25">
      <c r="A67" s="3">
        <f>'Исх. данные'!AC67</f>
        <v>109</v>
      </c>
      <c r="B67">
        <f t="shared" ref="B67:B130" si="1">IF(A67&lt;$H$4, 1, IF(A67&lt;$H$5, 2, 3))</f>
        <v>1</v>
      </c>
      <c r="C67" s="3">
        <f>'Исх. данные'!AE67</f>
        <v>9995</v>
      </c>
    </row>
    <row r="68" spans="1:3" x14ac:dyDescent="0.25">
      <c r="A68" s="3">
        <f>'Исх. данные'!AC68</f>
        <v>146</v>
      </c>
      <c r="B68">
        <f t="shared" si="1"/>
        <v>2</v>
      </c>
      <c r="C68" s="3">
        <f>'Исх. данные'!AE68</f>
        <v>9989</v>
      </c>
    </row>
    <row r="69" spans="1:3" x14ac:dyDescent="0.25">
      <c r="A69" s="3">
        <f>'Исх. данные'!AC69</f>
        <v>122</v>
      </c>
      <c r="B69">
        <f t="shared" si="1"/>
        <v>1</v>
      </c>
      <c r="C69" s="3">
        <f>'Исх. данные'!AE69</f>
        <v>9988</v>
      </c>
    </row>
    <row r="70" spans="1:3" x14ac:dyDescent="0.25">
      <c r="A70" s="3">
        <f>'Исх. данные'!AC70</f>
        <v>109</v>
      </c>
      <c r="B70">
        <f t="shared" si="1"/>
        <v>1</v>
      </c>
      <c r="C70" s="3">
        <f>'Исх. данные'!AE70</f>
        <v>9980</v>
      </c>
    </row>
    <row r="71" spans="1:3" x14ac:dyDescent="0.25">
      <c r="A71" s="3">
        <f>'Исх. данные'!AC71</f>
        <v>108</v>
      </c>
      <c r="B71">
        <f t="shared" si="1"/>
        <v>1</v>
      </c>
      <c r="C71" s="3">
        <f>'Исх. данные'!AE71</f>
        <v>9960</v>
      </c>
    </row>
    <row r="72" spans="1:3" x14ac:dyDescent="0.25">
      <c r="A72" s="3">
        <f>'Исх. данные'!AC72</f>
        <v>110</v>
      </c>
      <c r="B72">
        <f t="shared" si="1"/>
        <v>1</v>
      </c>
      <c r="C72" s="3">
        <f>'Исх. данные'!AE72</f>
        <v>9959</v>
      </c>
    </row>
    <row r="73" spans="1:3" x14ac:dyDescent="0.25">
      <c r="A73" s="3">
        <f>'Исх. данные'!AC73</f>
        <v>146</v>
      </c>
      <c r="B73">
        <f t="shared" si="1"/>
        <v>2</v>
      </c>
      <c r="C73" s="3">
        <f>'Исх. данные'!AE73</f>
        <v>9639</v>
      </c>
    </row>
    <row r="74" spans="1:3" x14ac:dyDescent="0.25">
      <c r="A74" s="3">
        <f>'Исх. данные'!AC74</f>
        <v>120</v>
      </c>
      <c r="B74">
        <f t="shared" si="1"/>
        <v>1</v>
      </c>
      <c r="C74" s="3">
        <f>'Исх. данные'!AE74</f>
        <v>9549</v>
      </c>
    </row>
    <row r="75" spans="1:3" x14ac:dyDescent="0.25">
      <c r="A75" s="3">
        <f>'Исх. данные'!AC75</f>
        <v>98</v>
      </c>
      <c r="B75">
        <f t="shared" si="1"/>
        <v>1</v>
      </c>
      <c r="C75" s="3">
        <f>'Исх. данные'!AE75</f>
        <v>9538</v>
      </c>
    </row>
    <row r="76" spans="1:3" x14ac:dyDescent="0.25">
      <c r="A76" s="3">
        <f>'Исх. данные'!AC76</f>
        <v>97</v>
      </c>
      <c r="B76">
        <f t="shared" si="1"/>
        <v>1</v>
      </c>
      <c r="C76" s="3">
        <f>'Исх. данные'!AE76</f>
        <v>9495</v>
      </c>
    </row>
    <row r="77" spans="1:3" x14ac:dyDescent="0.25">
      <c r="A77" s="3">
        <f>'Исх. данные'!AC77</f>
        <v>98</v>
      </c>
      <c r="B77">
        <f t="shared" si="1"/>
        <v>1</v>
      </c>
      <c r="C77" s="3">
        <f>'Исх. данные'!AE77</f>
        <v>9298</v>
      </c>
    </row>
    <row r="78" spans="1:3" x14ac:dyDescent="0.25">
      <c r="A78" s="3">
        <f>'Исх. данные'!AC78</f>
        <v>110</v>
      </c>
      <c r="B78">
        <f t="shared" si="1"/>
        <v>1</v>
      </c>
      <c r="C78" s="3">
        <f>'Исх. данные'!AE78</f>
        <v>9279</v>
      </c>
    </row>
    <row r="79" spans="1:3" x14ac:dyDescent="0.25">
      <c r="A79" s="3">
        <f>'Исх. данные'!AC79</f>
        <v>110</v>
      </c>
      <c r="B79">
        <f t="shared" si="1"/>
        <v>1</v>
      </c>
      <c r="C79" s="3">
        <f>'Исх. данные'!AE79</f>
        <v>9279</v>
      </c>
    </row>
    <row r="80" spans="1:3" x14ac:dyDescent="0.25">
      <c r="A80" s="3">
        <f>'Исх. данные'!AC80</f>
        <v>98</v>
      </c>
      <c r="B80">
        <f t="shared" si="1"/>
        <v>1</v>
      </c>
      <c r="C80" s="3">
        <f>'Исх. данные'!AE80</f>
        <v>9258</v>
      </c>
    </row>
    <row r="81" spans="1:3" x14ac:dyDescent="0.25">
      <c r="A81" s="3">
        <f>'Исх. данные'!AC81</f>
        <v>108</v>
      </c>
      <c r="B81">
        <f t="shared" si="1"/>
        <v>1</v>
      </c>
      <c r="C81" s="3">
        <f>'Исх. данные'!AE81</f>
        <v>9233</v>
      </c>
    </row>
    <row r="82" spans="1:3" x14ac:dyDescent="0.25">
      <c r="A82" s="3">
        <f>'Исх. данные'!AC82</f>
        <v>110</v>
      </c>
      <c r="B82">
        <f t="shared" si="1"/>
        <v>1</v>
      </c>
      <c r="C82" s="3">
        <f>'Исх. данные'!AE82</f>
        <v>9095</v>
      </c>
    </row>
    <row r="83" spans="1:3" x14ac:dyDescent="0.25">
      <c r="A83" s="3">
        <f>'Исх. данные'!AC83</f>
        <v>120</v>
      </c>
      <c r="B83">
        <f t="shared" si="1"/>
        <v>1</v>
      </c>
      <c r="C83" s="3">
        <f>'Исх. данные'!AE83</f>
        <v>8949</v>
      </c>
    </row>
    <row r="84" spans="1:3" x14ac:dyDescent="0.25">
      <c r="A84" s="3">
        <f>'Исх. данные'!AC84</f>
        <v>122</v>
      </c>
      <c r="B84">
        <f t="shared" si="1"/>
        <v>1</v>
      </c>
      <c r="C84" s="3">
        <f>'Исх. данные'!AE84</f>
        <v>8948</v>
      </c>
    </row>
    <row r="85" spans="1:3" x14ac:dyDescent="0.25">
      <c r="A85" s="3">
        <f>'Исх. данные'!AC85</f>
        <v>122</v>
      </c>
      <c r="B85">
        <f t="shared" si="1"/>
        <v>1</v>
      </c>
      <c r="C85" s="3">
        <f>'Исх. данные'!AE85</f>
        <v>8921</v>
      </c>
    </row>
    <row r="86" spans="1:3" x14ac:dyDescent="0.25">
      <c r="A86" s="3">
        <f>'Исх. данные'!AC86</f>
        <v>122</v>
      </c>
      <c r="B86">
        <f t="shared" si="1"/>
        <v>1</v>
      </c>
      <c r="C86" s="3">
        <f>'Исх. данные'!AE86</f>
        <v>8921</v>
      </c>
    </row>
    <row r="87" spans="1:3" x14ac:dyDescent="0.25">
      <c r="A87" s="3">
        <f>'Исх. данные'!AC87</f>
        <v>110</v>
      </c>
      <c r="B87">
        <f t="shared" si="1"/>
        <v>1</v>
      </c>
      <c r="C87" s="3">
        <f>'Исх. данные'!AE87</f>
        <v>8845</v>
      </c>
    </row>
    <row r="88" spans="1:3" x14ac:dyDescent="0.25">
      <c r="A88" s="3">
        <f>'Исх. данные'!AC88</f>
        <v>122</v>
      </c>
      <c r="B88">
        <f t="shared" si="1"/>
        <v>1</v>
      </c>
      <c r="C88" s="3">
        <f>'Исх. данные'!AE88</f>
        <v>8845</v>
      </c>
    </row>
    <row r="89" spans="1:3" x14ac:dyDescent="0.25">
      <c r="A89" s="3">
        <f>'Исх. данные'!AC89</f>
        <v>92</v>
      </c>
      <c r="B89">
        <f t="shared" si="1"/>
        <v>1</v>
      </c>
      <c r="C89" s="3">
        <f>'Исх. данные'!AE89</f>
        <v>8778</v>
      </c>
    </row>
    <row r="90" spans="1:3" x14ac:dyDescent="0.25">
      <c r="A90" s="3">
        <f>'Исх. данные'!AC90</f>
        <v>122</v>
      </c>
      <c r="B90">
        <f t="shared" si="1"/>
        <v>1</v>
      </c>
      <c r="C90" s="3">
        <f>'Исх. данные'!AE90</f>
        <v>8499</v>
      </c>
    </row>
    <row r="91" spans="1:3" x14ac:dyDescent="0.25">
      <c r="A91" s="3">
        <f>'Исх. данные'!AC91</f>
        <v>122</v>
      </c>
      <c r="B91">
        <f t="shared" si="1"/>
        <v>1</v>
      </c>
      <c r="C91" s="3">
        <f>'Исх. данные'!AE91</f>
        <v>8495</v>
      </c>
    </row>
    <row r="92" spans="1:3" x14ac:dyDescent="0.25">
      <c r="A92" s="3">
        <f>'Исх. данные'!AC92</f>
        <v>109</v>
      </c>
      <c r="B92">
        <f t="shared" si="1"/>
        <v>1</v>
      </c>
      <c r="C92" s="3">
        <f>'Исх. данные'!AE92</f>
        <v>8495</v>
      </c>
    </row>
    <row r="93" spans="1:3" x14ac:dyDescent="0.25">
      <c r="A93" s="3">
        <f>'Исх. данные'!AC93</f>
        <v>146</v>
      </c>
      <c r="B93">
        <f t="shared" si="1"/>
        <v>2</v>
      </c>
      <c r="C93" s="3">
        <f>'Исх. данные'!AE93</f>
        <v>8449</v>
      </c>
    </row>
    <row r="94" spans="1:3" x14ac:dyDescent="0.25">
      <c r="A94" s="3">
        <f>'Исх. данные'!AC94</f>
        <v>98</v>
      </c>
      <c r="B94">
        <f t="shared" si="1"/>
        <v>1</v>
      </c>
      <c r="C94" s="3">
        <f>'Исх. данные'!AE94</f>
        <v>8358</v>
      </c>
    </row>
    <row r="95" spans="1:3" x14ac:dyDescent="0.25">
      <c r="A95" s="3">
        <f>'Исх. данные'!AC95</f>
        <v>97</v>
      </c>
      <c r="B95">
        <f t="shared" si="1"/>
        <v>1</v>
      </c>
      <c r="C95" s="3">
        <f>'Исх. данные'!AE95</f>
        <v>8249</v>
      </c>
    </row>
    <row r="96" spans="1:3" x14ac:dyDescent="0.25">
      <c r="A96" s="3">
        <f>'Исх. данные'!AC96</f>
        <v>98</v>
      </c>
      <c r="B96">
        <f t="shared" si="1"/>
        <v>1</v>
      </c>
      <c r="C96" s="3">
        <f>'Исх. данные'!AE96</f>
        <v>8238</v>
      </c>
    </row>
    <row r="97" spans="1:3" x14ac:dyDescent="0.25">
      <c r="A97" s="3">
        <f>'Исх. данные'!AC97</f>
        <v>109</v>
      </c>
      <c r="B97">
        <f t="shared" si="1"/>
        <v>1</v>
      </c>
      <c r="C97" s="3">
        <f>'Исх. данные'!AE97</f>
        <v>8195</v>
      </c>
    </row>
    <row r="98" spans="1:3" x14ac:dyDescent="0.25">
      <c r="A98" s="3">
        <f>'Исх. данные'!AC98</f>
        <v>122</v>
      </c>
      <c r="B98">
        <f t="shared" si="1"/>
        <v>1</v>
      </c>
      <c r="C98" s="3">
        <f>'Исх. данные'!AE98</f>
        <v>8189</v>
      </c>
    </row>
    <row r="99" spans="1:3" x14ac:dyDescent="0.25">
      <c r="A99" s="3">
        <f>'Исх. данные'!AC99</f>
        <v>98</v>
      </c>
      <c r="B99">
        <f t="shared" si="1"/>
        <v>1</v>
      </c>
      <c r="C99" s="3">
        <f>'Исх. данные'!AE99</f>
        <v>8058</v>
      </c>
    </row>
    <row r="100" spans="1:3" x14ac:dyDescent="0.25">
      <c r="A100" s="3">
        <f>'Исх. данные'!AC100</f>
        <v>108</v>
      </c>
      <c r="B100">
        <f t="shared" si="1"/>
        <v>1</v>
      </c>
      <c r="C100" s="3">
        <f>'Исх. данные'!AE100</f>
        <v>8013</v>
      </c>
    </row>
    <row r="101" spans="1:3" x14ac:dyDescent="0.25">
      <c r="A101" s="3">
        <f>'Исх. данные'!AC101</f>
        <v>97</v>
      </c>
      <c r="B101">
        <f t="shared" si="1"/>
        <v>1</v>
      </c>
      <c r="C101" s="3">
        <f>'Исх. данные'!AE101</f>
        <v>7999</v>
      </c>
    </row>
    <row r="102" spans="1:3" x14ac:dyDescent="0.25">
      <c r="A102" s="3">
        <f>'Исх. данные'!AC102</f>
        <v>97</v>
      </c>
      <c r="B102">
        <f t="shared" si="1"/>
        <v>1</v>
      </c>
      <c r="C102" s="3">
        <f>'Исх. данные'!AE102</f>
        <v>7995</v>
      </c>
    </row>
    <row r="103" spans="1:3" x14ac:dyDescent="0.25">
      <c r="A103" s="3">
        <f>'Исх. данные'!AC103</f>
        <v>109</v>
      </c>
      <c r="B103">
        <f t="shared" si="1"/>
        <v>1</v>
      </c>
      <c r="C103" s="3">
        <f>'Исх. данные'!AE103</f>
        <v>7975</v>
      </c>
    </row>
    <row r="104" spans="1:3" x14ac:dyDescent="0.25">
      <c r="A104" s="3">
        <f>'Исх. данные'!AC104</f>
        <v>98</v>
      </c>
      <c r="B104">
        <f t="shared" si="1"/>
        <v>1</v>
      </c>
      <c r="C104" s="3">
        <f>'Исх. данные'!AE104</f>
        <v>7957</v>
      </c>
    </row>
    <row r="105" spans="1:3" x14ac:dyDescent="0.25">
      <c r="A105" s="3">
        <f>'Исх. данные'!AC105</f>
        <v>98</v>
      </c>
      <c r="B105">
        <f t="shared" si="1"/>
        <v>1</v>
      </c>
      <c r="C105" s="3">
        <f>'Исх. данные'!AE105</f>
        <v>7957</v>
      </c>
    </row>
    <row r="106" spans="1:3" x14ac:dyDescent="0.25">
      <c r="A106" s="3">
        <f>'Исх. данные'!AC106</f>
        <v>92</v>
      </c>
      <c r="B106">
        <f t="shared" si="1"/>
        <v>1</v>
      </c>
      <c r="C106" s="3">
        <f>'Исх. данные'!AE106</f>
        <v>7898</v>
      </c>
    </row>
    <row r="107" spans="1:3" x14ac:dyDescent="0.25">
      <c r="A107" s="3">
        <f>'Исх. данные'!AC107</f>
        <v>110</v>
      </c>
      <c r="B107">
        <f t="shared" si="1"/>
        <v>1</v>
      </c>
      <c r="C107" s="3">
        <f>'Исх. данные'!AE107</f>
        <v>7898</v>
      </c>
    </row>
    <row r="108" spans="1:3" x14ac:dyDescent="0.25">
      <c r="A108" s="3">
        <f>'Исх. данные'!AC108</f>
        <v>110</v>
      </c>
      <c r="B108">
        <f t="shared" si="1"/>
        <v>1</v>
      </c>
      <c r="C108" s="3">
        <f>'Исх. данные'!AE108</f>
        <v>7895</v>
      </c>
    </row>
    <row r="109" spans="1:3" x14ac:dyDescent="0.25">
      <c r="A109" s="3">
        <f>'Исх. данные'!AC109</f>
        <v>97</v>
      </c>
      <c r="B109">
        <f t="shared" si="1"/>
        <v>1</v>
      </c>
      <c r="C109" s="3">
        <f>'Исх. данные'!AE109</f>
        <v>7799</v>
      </c>
    </row>
    <row r="110" spans="1:3" x14ac:dyDescent="0.25">
      <c r="A110" s="3">
        <f>'Исх. данные'!AC110</f>
        <v>110</v>
      </c>
      <c r="B110">
        <f t="shared" si="1"/>
        <v>1</v>
      </c>
      <c r="C110" s="3">
        <f>'Исх. данные'!AE110</f>
        <v>7788</v>
      </c>
    </row>
    <row r="111" spans="1:3" x14ac:dyDescent="0.25">
      <c r="A111" s="3">
        <f>'Исх. данные'!AC111</f>
        <v>108</v>
      </c>
      <c r="B111">
        <f t="shared" si="1"/>
        <v>1</v>
      </c>
      <c r="C111" s="3">
        <f>'Исх. данные'!AE111</f>
        <v>7775</v>
      </c>
    </row>
    <row r="112" spans="1:3" x14ac:dyDescent="0.25">
      <c r="A112" s="3">
        <f>'Исх. данные'!AC112</f>
        <v>97</v>
      </c>
      <c r="B112">
        <f t="shared" si="1"/>
        <v>1</v>
      </c>
      <c r="C112" s="3">
        <f>'Исх. данные'!AE112</f>
        <v>7775</v>
      </c>
    </row>
    <row r="113" spans="1:3" x14ac:dyDescent="0.25">
      <c r="A113" s="3">
        <f>'Исх. данные'!AC113</f>
        <v>98</v>
      </c>
      <c r="B113">
        <f t="shared" si="1"/>
        <v>1</v>
      </c>
      <c r="C113" s="3">
        <f>'Исх. данные'!AE113</f>
        <v>7738</v>
      </c>
    </row>
    <row r="114" spans="1:3" x14ac:dyDescent="0.25">
      <c r="A114" s="3">
        <f>'Исх. данные'!AC114</f>
        <v>98</v>
      </c>
      <c r="B114">
        <f t="shared" si="1"/>
        <v>1</v>
      </c>
      <c r="C114" s="3">
        <f>'Исх. данные'!AE114</f>
        <v>7689</v>
      </c>
    </row>
    <row r="115" spans="1:3" x14ac:dyDescent="0.25">
      <c r="A115" s="3">
        <f>'Исх. данные'!AC115</f>
        <v>90</v>
      </c>
      <c r="B115">
        <f t="shared" si="1"/>
        <v>1</v>
      </c>
      <c r="C115" s="3">
        <f>'Исх. данные'!AE115</f>
        <v>7609</v>
      </c>
    </row>
    <row r="116" spans="1:3" x14ac:dyDescent="0.25">
      <c r="A116" s="3">
        <f>'Исх. данные'!AC116</f>
        <v>98</v>
      </c>
      <c r="B116">
        <f t="shared" si="1"/>
        <v>1</v>
      </c>
      <c r="C116" s="3">
        <f>'Исх. данные'!AE116</f>
        <v>7609</v>
      </c>
    </row>
    <row r="117" spans="1:3" x14ac:dyDescent="0.25">
      <c r="A117" s="3">
        <f>'Исх. данные'!AC117</f>
        <v>108</v>
      </c>
      <c r="B117">
        <f t="shared" si="1"/>
        <v>1</v>
      </c>
      <c r="C117" s="3">
        <f>'Исх. данные'!AE117</f>
        <v>7603</v>
      </c>
    </row>
    <row r="118" spans="1:3" x14ac:dyDescent="0.25">
      <c r="A118" s="3">
        <f>'Исх. данные'!AC118</f>
        <v>97</v>
      </c>
      <c r="B118">
        <f t="shared" si="1"/>
        <v>1</v>
      </c>
      <c r="C118" s="3">
        <f>'Исх. данные'!AE118</f>
        <v>7499</v>
      </c>
    </row>
    <row r="119" spans="1:3" x14ac:dyDescent="0.25">
      <c r="A119" s="3">
        <f>'Исх. данные'!AC119</f>
        <v>108</v>
      </c>
      <c r="B119">
        <f t="shared" si="1"/>
        <v>1</v>
      </c>
      <c r="C119" s="3">
        <f>'Исх. данные'!AE119</f>
        <v>7463</v>
      </c>
    </row>
    <row r="120" spans="1:3" x14ac:dyDescent="0.25">
      <c r="A120" s="3">
        <f>'Исх. данные'!AC120</f>
        <v>91</v>
      </c>
      <c r="B120">
        <f t="shared" si="1"/>
        <v>1</v>
      </c>
      <c r="C120" s="3">
        <f>'Исх. данные'!AE120</f>
        <v>7395</v>
      </c>
    </row>
    <row r="121" spans="1:3" x14ac:dyDescent="0.25">
      <c r="A121" s="3">
        <f>'Исх. данные'!AC121</f>
        <v>97</v>
      </c>
      <c r="B121">
        <f t="shared" si="1"/>
        <v>1</v>
      </c>
      <c r="C121" s="3">
        <f>'Исх. данные'!AE121</f>
        <v>7349</v>
      </c>
    </row>
    <row r="122" spans="1:3" x14ac:dyDescent="0.25">
      <c r="A122" s="3">
        <f>'Исх. данные'!AC122</f>
        <v>97</v>
      </c>
      <c r="B122">
        <f t="shared" si="1"/>
        <v>1</v>
      </c>
      <c r="C122" s="3">
        <f>'Исх. данные'!AE122</f>
        <v>7299</v>
      </c>
    </row>
    <row r="123" spans="1:3" x14ac:dyDescent="0.25">
      <c r="A123" s="3">
        <f>'Исх. данные'!AC123</f>
        <v>92</v>
      </c>
      <c r="B123">
        <f t="shared" si="1"/>
        <v>1</v>
      </c>
      <c r="C123" s="3">
        <f>'Исх. данные'!AE123</f>
        <v>7295</v>
      </c>
    </row>
    <row r="124" spans="1:3" x14ac:dyDescent="0.25">
      <c r="A124" s="3">
        <f>'Исх. данные'!AC124</f>
        <v>92</v>
      </c>
      <c r="B124">
        <f t="shared" si="1"/>
        <v>1</v>
      </c>
      <c r="C124" s="3">
        <f>'Исх. данные'!AE124</f>
        <v>7295</v>
      </c>
    </row>
    <row r="125" spans="1:3" x14ac:dyDescent="0.25">
      <c r="A125" s="3">
        <f>'Исх. данные'!AC125</f>
        <v>98</v>
      </c>
      <c r="B125">
        <f t="shared" si="1"/>
        <v>1</v>
      </c>
      <c r="C125" s="3">
        <f>'Исх. данные'!AE125</f>
        <v>7198</v>
      </c>
    </row>
    <row r="126" spans="1:3" x14ac:dyDescent="0.25">
      <c r="A126" s="3">
        <f>'Исх. данные'!AC126</f>
        <v>92</v>
      </c>
      <c r="B126">
        <f t="shared" si="1"/>
        <v>1</v>
      </c>
      <c r="C126" s="3">
        <f>'Исх. данные'!AE126</f>
        <v>7129</v>
      </c>
    </row>
    <row r="127" spans="1:3" x14ac:dyDescent="0.25">
      <c r="A127" s="3">
        <f>'Исх. данные'!AC127</f>
        <v>108</v>
      </c>
      <c r="B127">
        <f t="shared" si="1"/>
        <v>1</v>
      </c>
      <c r="C127" s="3">
        <f>'Исх. данные'!AE127</f>
        <v>7126</v>
      </c>
    </row>
    <row r="128" spans="1:3" x14ac:dyDescent="0.25">
      <c r="A128" s="3">
        <f>'Исх. данные'!AC128</f>
        <v>103</v>
      </c>
      <c r="B128">
        <f t="shared" si="1"/>
        <v>1</v>
      </c>
      <c r="C128" s="3">
        <f>'Исх. данные'!AE128</f>
        <v>7099</v>
      </c>
    </row>
    <row r="129" spans="1:3" x14ac:dyDescent="0.25">
      <c r="A129" s="3">
        <f>'Исх. данные'!AC129</f>
        <v>108</v>
      </c>
      <c r="B129">
        <f t="shared" si="1"/>
        <v>1</v>
      </c>
      <c r="C129" s="3">
        <f>'Исх. данные'!AE129</f>
        <v>7053</v>
      </c>
    </row>
    <row r="130" spans="1:3" x14ac:dyDescent="0.25">
      <c r="A130" s="3">
        <f>'Исх. данные'!AC130</f>
        <v>122</v>
      </c>
      <c r="B130">
        <f t="shared" si="1"/>
        <v>1</v>
      </c>
      <c r="C130" s="3">
        <f>'Исх. данные'!AE130</f>
        <v>6989</v>
      </c>
    </row>
    <row r="131" spans="1:3" x14ac:dyDescent="0.25">
      <c r="A131" s="3">
        <f>'Исх. данные'!AC131</f>
        <v>98</v>
      </c>
      <c r="B131">
        <f t="shared" ref="B131:B160" si="2">IF(A131&lt;$H$4, 1, IF(A131&lt;$H$5, 2, 3))</f>
        <v>1</v>
      </c>
      <c r="C131" s="3">
        <f>'Исх. данные'!AE131</f>
        <v>6938</v>
      </c>
    </row>
    <row r="132" spans="1:3" x14ac:dyDescent="0.25">
      <c r="A132" s="3">
        <f>'Исх. данные'!AC132</f>
        <v>92</v>
      </c>
      <c r="B132">
        <f t="shared" si="2"/>
        <v>1</v>
      </c>
      <c r="C132" s="3">
        <f>'Исх. данные'!AE132</f>
        <v>6918</v>
      </c>
    </row>
    <row r="133" spans="1:3" x14ac:dyDescent="0.25">
      <c r="A133" s="3">
        <f>'Исх. данные'!AC133</f>
        <v>92</v>
      </c>
      <c r="B133">
        <f t="shared" si="2"/>
        <v>1</v>
      </c>
      <c r="C133" s="3">
        <f>'Исх. данные'!AE133</f>
        <v>6855</v>
      </c>
    </row>
    <row r="134" spans="1:3" x14ac:dyDescent="0.25">
      <c r="A134" s="3">
        <f>'Исх. данные'!AC134</f>
        <v>97</v>
      </c>
      <c r="B134">
        <f t="shared" si="2"/>
        <v>1</v>
      </c>
      <c r="C134" s="3">
        <f>'Исх. данные'!AE134</f>
        <v>6849</v>
      </c>
    </row>
    <row r="135" spans="1:3" x14ac:dyDescent="0.25">
      <c r="A135" s="3">
        <f>'Исх. данные'!AC135</f>
        <v>91</v>
      </c>
      <c r="B135">
        <f t="shared" si="2"/>
        <v>1</v>
      </c>
      <c r="C135" s="3">
        <f>'Исх. данные'!AE135</f>
        <v>6795</v>
      </c>
    </row>
    <row r="136" spans="1:3" x14ac:dyDescent="0.25">
      <c r="A136" s="3">
        <f>'Исх. данные'!AC136</f>
        <v>91</v>
      </c>
      <c r="B136">
        <f t="shared" si="2"/>
        <v>1</v>
      </c>
      <c r="C136" s="3">
        <f>'Исх. данные'!AE136</f>
        <v>6695</v>
      </c>
    </row>
    <row r="137" spans="1:3" x14ac:dyDescent="0.25">
      <c r="A137" s="3">
        <f>'Исх. данные'!AC137</f>
        <v>90</v>
      </c>
      <c r="B137">
        <f t="shared" si="2"/>
        <v>1</v>
      </c>
      <c r="C137" s="3">
        <f>'Исх. данные'!AE137</f>
        <v>6692</v>
      </c>
    </row>
    <row r="138" spans="1:3" x14ac:dyDescent="0.25">
      <c r="A138" s="3">
        <f>'Исх. данные'!AC138</f>
        <v>90</v>
      </c>
      <c r="B138">
        <f t="shared" si="2"/>
        <v>1</v>
      </c>
      <c r="C138" s="3">
        <f>'Исх. данные'!AE138</f>
        <v>6692</v>
      </c>
    </row>
    <row r="139" spans="1:3" x14ac:dyDescent="0.25">
      <c r="A139" s="3">
        <f>'Исх. данные'!AC139</f>
        <v>92</v>
      </c>
      <c r="B139">
        <f t="shared" si="2"/>
        <v>1</v>
      </c>
      <c r="C139" s="3">
        <f>'Исх. данные'!AE139</f>
        <v>6669</v>
      </c>
    </row>
    <row r="140" spans="1:3" x14ac:dyDescent="0.25">
      <c r="A140" s="3">
        <f>'Исх. данные'!AC140</f>
        <v>97</v>
      </c>
      <c r="B140">
        <f t="shared" si="2"/>
        <v>1</v>
      </c>
      <c r="C140" s="3">
        <f>'Исх. данные'!AE140</f>
        <v>6649</v>
      </c>
    </row>
    <row r="141" spans="1:3" x14ac:dyDescent="0.25">
      <c r="A141" s="3">
        <f>'Исх. данные'!AC141</f>
        <v>90</v>
      </c>
      <c r="B141">
        <f t="shared" si="2"/>
        <v>1</v>
      </c>
      <c r="C141" s="3">
        <f>'Исх. данные'!AE141</f>
        <v>6575</v>
      </c>
    </row>
    <row r="142" spans="1:3" x14ac:dyDescent="0.25">
      <c r="A142" s="3">
        <f>'Исх. данные'!AC142</f>
        <v>92</v>
      </c>
      <c r="B142">
        <f t="shared" si="2"/>
        <v>1</v>
      </c>
      <c r="C142" s="3">
        <f>'Исх. данные'!AE142</f>
        <v>6529</v>
      </c>
    </row>
    <row r="143" spans="1:3" x14ac:dyDescent="0.25">
      <c r="A143" s="3">
        <f>'Исх. данные'!AC143</f>
        <v>92</v>
      </c>
      <c r="B143">
        <f t="shared" si="2"/>
        <v>1</v>
      </c>
      <c r="C143" s="3">
        <f>'Исх. данные'!AE143</f>
        <v>6488</v>
      </c>
    </row>
    <row r="144" spans="1:3" x14ac:dyDescent="0.25">
      <c r="A144" s="3">
        <f>'Исх. данные'!AC144</f>
        <v>92</v>
      </c>
      <c r="B144">
        <f t="shared" si="2"/>
        <v>1</v>
      </c>
      <c r="C144" s="3">
        <f>'Исх. данные'!AE144</f>
        <v>6479</v>
      </c>
    </row>
    <row r="145" spans="1:3" x14ac:dyDescent="0.25">
      <c r="A145" s="3">
        <f>'Исх. данные'!AC145</f>
        <v>90</v>
      </c>
      <c r="B145">
        <f t="shared" si="2"/>
        <v>1</v>
      </c>
      <c r="C145" s="3">
        <f>'Исх. данные'!AE145</f>
        <v>6377</v>
      </c>
    </row>
    <row r="146" spans="1:3" x14ac:dyDescent="0.25">
      <c r="A146" s="3">
        <f>'Исх. данные'!AC146</f>
        <v>92</v>
      </c>
      <c r="B146">
        <f t="shared" si="2"/>
        <v>1</v>
      </c>
      <c r="C146" s="3">
        <f>'Исх. данные'!AE146</f>
        <v>6338</v>
      </c>
    </row>
    <row r="147" spans="1:3" x14ac:dyDescent="0.25">
      <c r="A147" s="3">
        <f>'Исх. данные'!AC147</f>
        <v>90</v>
      </c>
      <c r="B147">
        <f t="shared" si="2"/>
        <v>1</v>
      </c>
      <c r="C147" s="3">
        <f>'Исх. данные'!AE147</f>
        <v>6295</v>
      </c>
    </row>
    <row r="148" spans="1:3" x14ac:dyDescent="0.25">
      <c r="A148" s="3">
        <f>'Исх. данные'!AC148</f>
        <v>90</v>
      </c>
      <c r="B148">
        <f t="shared" si="2"/>
        <v>1</v>
      </c>
      <c r="C148" s="3">
        <f>'Исх. данные'!AE148</f>
        <v>6229</v>
      </c>
    </row>
    <row r="149" spans="1:3" x14ac:dyDescent="0.25">
      <c r="A149" s="3">
        <f>'Исх. данные'!AC149</f>
        <v>90</v>
      </c>
      <c r="B149">
        <f t="shared" si="2"/>
        <v>1</v>
      </c>
      <c r="C149" s="3">
        <f>'Исх. данные'!AE149</f>
        <v>6229</v>
      </c>
    </row>
    <row r="150" spans="1:3" x14ac:dyDescent="0.25">
      <c r="A150" s="3">
        <f>'Исх. данные'!AC150</f>
        <v>92</v>
      </c>
      <c r="B150">
        <f t="shared" si="2"/>
        <v>1</v>
      </c>
      <c r="C150" s="3">
        <f>'Исх. данные'!AE150</f>
        <v>6189</v>
      </c>
    </row>
    <row r="151" spans="1:3" x14ac:dyDescent="0.25">
      <c r="A151" s="3">
        <f>'Исх. данные'!AC151</f>
        <v>91</v>
      </c>
      <c r="B151">
        <f t="shared" si="2"/>
        <v>1</v>
      </c>
      <c r="C151" s="3">
        <f>'Исх. данные'!AE151</f>
        <v>6095</v>
      </c>
    </row>
    <row r="152" spans="1:3" x14ac:dyDescent="0.25">
      <c r="A152" s="3">
        <f>'Исх. данные'!AC152</f>
        <v>90</v>
      </c>
      <c r="B152">
        <f t="shared" si="2"/>
        <v>1</v>
      </c>
      <c r="C152" s="3">
        <f>'Исх. данные'!AE152</f>
        <v>5572</v>
      </c>
    </row>
    <row r="153" spans="1:3" x14ac:dyDescent="0.25">
      <c r="A153" s="3">
        <f>'Исх. данные'!AC153</f>
        <v>90</v>
      </c>
      <c r="B153">
        <f t="shared" si="2"/>
        <v>1</v>
      </c>
      <c r="C153" s="3">
        <f>'Исх. данные'!AE153</f>
        <v>5572</v>
      </c>
    </row>
    <row r="154" spans="1:3" x14ac:dyDescent="0.25">
      <c r="A154" s="3">
        <f>'Исх. данные'!AC154</f>
        <v>97</v>
      </c>
      <c r="B154">
        <f t="shared" si="2"/>
        <v>1</v>
      </c>
      <c r="C154" s="3">
        <f>'Исх. данные'!AE154</f>
        <v>5499</v>
      </c>
    </row>
    <row r="155" spans="1:3" x14ac:dyDescent="0.25">
      <c r="A155" s="3">
        <f>'Исх. данные'!AC155</f>
        <v>79</v>
      </c>
      <c r="B155">
        <f t="shared" si="2"/>
        <v>1</v>
      </c>
      <c r="C155" s="3">
        <f>'Исх. данные'!AE155</f>
        <v>5399</v>
      </c>
    </row>
    <row r="156" spans="1:3" x14ac:dyDescent="0.25">
      <c r="A156" s="3">
        <f>'Исх. данные'!AC156</f>
        <v>92</v>
      </c>
      <c r="B156">
        <f t="shared" si="2"/>
        <v>1</v>
      </c>
      <c r="C156" s="3">
        <f>'Исх. данные'!AE156</f>
        <v>5389</v>
      </c>
    </row>
    <row r="157" spans="1:3" x14ac:dyDescent="0.25">
      <c r="A157" s="3">
        <f>'Исх. данные'!AC157</f>
        <v>92</v>
      </c>
      <c r="B157">
        <f t="shared" si="2"/>
        <v>1</v>
      </c>
      <c r="C157" s="3">
        <f>'Исх. данные'!AE157</f>
        <v>5348</v>
      </c>
    </row>
    <row r="158" spans="1:3" x14ac:dyDescent="0.25">
      <c r="A158" s="3">
        <f>'Исх. данные'!AC158</f>
        <v>91</v>
      </c>
      <c r="B158">
        <f t="shared" si="2"/>
        <v>1</v>
      </c>
      <c r="C158" s="3">
        <f>'Исх. данные'!AE158</f>
        <v>5195</v>
      </c>
    </row>
    <row r="159" spans="1:3" x14ac:dyDescent="0.25">
      <c r="A159" s="3">
        <f>'Исх. данные'!AC159</f>
        <v>61</v>
      </c>
      <c r="B159">
        <f t="shared" si="2"/>
        <v>1</v>
      </c>
      <c r="C159" s="3">
        <f>'Исх. данные'!AE159</f>
        <v>5151</v>
      </c>
    </row>
    <row r="160" spans="1:3" x14ac:dyDescent="0.25">
      <c r="A160" s="3">
        <f>'Исх. данные'!AC160</f>
        <v>97</v>
      </c>
      <c r="B160">
        <f t="shared" si="2"/>
        <v>1</v>
      </c>
      <c r="C160" s="3">
        <f>'Исх. данные'!AE160</f>
        <v>5118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70"/>
  <sheetViews>
    <sheetView topLeftCell="E4" zoomScale="85" zoomScaleNormal="85" workbookViewId="0">
      <selection activeCell="J21" sqref="J21"/>
    </sheetView>
  </sheetViews>
  <sheetFormatPr defaultRowHeight="15" x14ac:dyDescent="0.25"/>
  <cols>
    <col min="1" max="1" width="30.7109375" bestFit="1" customWidth="1"/>
    <col min="2" max="2" width="16.140625" bestFit="1" customWidth="1"/>
    <col min="3" max="3" width="24.5703125" bestFit="1" customWidth="1"/>
    <col min="4" max="4" width="30.7109375" bestFit="1" customWidth="1"/>
    <col min="5" max="5" width="16.140625" bestFit="1" customWidth="1"/>
    <col min="6" max="6" width="12" bestFit="1" customWidth="1"/>
    <col min="7" max="7" width="30.7109375" bestFit="1" customWidth="1"/>
    <col min="8" max="8" width="16.140625" bestFit="1" customWidth="1"/>
    <col min="9" max="9" width="24.5703125" bestFit="1" customWidth="1"/>
    <col min="10" max="10" width="30.7109375" bestFit="1" customWidth="1"/>
    <col min="11" max="11" width="16.140625" bestFit="1" customWidth="1"/>
    <col min="12" max="12" width="12" bestFit="1" customWidth="1"/>
    <col min="13" max="13" width="30.7109375" bestFit="1" customWidth="1"/>
    <col min="14" max="14" width="16.140625" bestFit="1" customWidth="1"/>
    <col min="16" max="16" width="30.7109375" bestFit="1" customWidth="1"/>
    <col min="17" max="17" width="16.140625" bestFit="1" customWidth="1"/>
  </cols>
  <sheetData>
    <row r="1" spans="1:26" ht="18.75" x14ac:dyDescent="0.3">
      <c r="A1" s="46" t="s">
        <v>70</v>
      </c>
      <c r="B1" s="47"/>
      <c r="D1" s="46" t="s">
        <v>79</v>
      </c>
      <c r="E1" s="47"/>
      <c r="G1" s="46" t="s">
        <v>76</v>
      </c>
      <c r="H1" s="47"/>
      <c r="J1" s="46" t="s">
        <v>75</v>
      </c>
      <c r="K1" s="47"/>
      <c r="M1" s="46" t="s">
        <v>63</v>
      </c>
      <c r="N1" s="47"/>
      <c r="P1" s="46" t="s">
        <v>65</v>
      </c>
      <c r="Q1" s="47"/>
      <c r="Y1" s="22" t="s">
        <v>70</v>
      </c>
      <c r="Z1" s="22"/>
    </row>
    <row r="2" spans="1:26" ht="18.75" x14ac:dyDescent="0.3">
      <c r="A2" s="48"/>
      <c r="B2" s="49"/>
      <c r="D2" s="48"/>
      <c r="E2" s="49"/>
      <c r="G2" s="48"/>
      <c r="H2" s="49"/>
      <c r="J2" s="48"/>
      <c r="K2" s="49"/>
      <c r="M2" s="48"/>
      <c r="N2" s="49"/>
      <c r="P2" s="48"/>
      <c r="Q2" s="49"/>
      <c r="Y2" s="23"/>
      <c r="Z2" s="23"/>
    </row>
    <row r="3" spans="1:26" ht="18.75" x14ac:dyDescent="0.3">
      <c r="A3" s="23" t="s">
        <v>80</v>
      </c>
      <c r="B3" s="26">
        <v>119.22641509433963</v>
      </c>
      <c r="D3" s="23" t="s">
        <v>80</v>
      </c>
      <c r="E3" s="23">
        <v>11445.729559748428</v>
      </c>
      <c r="G3" s="23" t="s">
        <v>80</v>
      </c>
      <c r="H3" s="23">
        <v>5113.8364779874209</v>
      </c>
      <c r="J3" s="23" t="s">
        <v>80</v>
      </c>
      <c r="K3" s="23">
        <v>95.836477987421389</v>
      </c>
      <c r="M3" s="23" t="s">
        <v>80</v>
      </c>
      <c r="N3" s="23">
        <v>98.264150943396317</v>
      </c>
      <c r="P3" s="23" t="s">
        <v>80</v>
      </c>
      <c r="Q3" s="23">
        <v>65.607547169811255</v>
      </c>
      <c r="Y3" s="23" t="s">
        <v>80</v>
      </c>
      <c r="Z3" s="24">
        <v>119.22641509433963</v>
      </c>
    </row>
    <row r="4" spans="1:26" ht="18.75" x14ac:dyDescent="0.3">
      <c r="A4" s="23" t="s">
        <v>81</v>
      </c>
      <c r="B4" s="26">
        <v>2.4156978810587431</v>
      </c>
      <c r="D4" s="23" t="s">
        <v>81</v>
      </c>
      <c r="E4" s="23">
        <v>466.14431762444286</v>
      </c>
      <c r="G4" s="23" t="s">
        <v>81</v>
      </c>
      <c r="H4" s="23">
        <v>36.936763345524248</v>
      </c>
      <c r="J4" s="23" t="s">
        <v>81</v>
      </c>
      <c r="K4" s="23">
        <v>2.4361420670464304</v>
      </c>
      <c r="M4" s="23" t="s">
        <v>81</v>
      </c>
      <c r="N4" s="23">
        <v>0.40980274226967339</v>
      </c>
      <c r="P4" s="23" t="s">
        <v>81</v>
      </c>
      <c r="Q4" s="23">
        <v>0.15447713549629391</v>
      </c>
      <c r="Y4" s="23" t="s">
        <v>81</v>
      </c>
      <c r="Z4" s="23">
        <v>2.4156978810587431</v>
      </c>
    </row>
    <row r="5" spans="1:26" ht="18.75" x14ac:dyDescent="0.3">
      <c r="A5" s="23" t="s">
        <v>82</v>
      </c>
      <c r="B5" s="26">
        <v>110</v>
      </c>
      <c r="D5" s="23" t="s">
        <v>82</v>
      </c>
      <c r="E5" s="23">
        <v>9233</v>
      </c>
      <c r="G5" s="23" t="s">
        <v>82</v>
      </c>
      <c r="H5" s="23">
        <v>5200</v>
      </c>
      <c r="J5" s="23" t="s">
        <v>82</v>
      </c>
      <c r="K5" s="23">
        <v>88</v>
      </c>
      <c r="M5" s="23" t="s">
        <v>82</v>
      </c>
      <c r="N5" s="23">
        <v>96.9</v>
      </c>
      <c r="P5" s="23" t="s">
        <v>82</v>
      </c>
      <c r="Q5" s="23">
        <v>65.400000000000006</v>
      </c>
      <c r="Y5" s="23" t="s">
        <v>82</v>
      </c>
      <c r="Z5" s="24">
        <v>110</v>
      </c>
    </row>
    <row r="6" spans="1:26" ht="18.75" x14ac:dyDescent="0.3">
      <c r="A6" s="23" t="s">
        <v>83</v>
      </c>
      <c r="B6" s="26">
        <v>92</v>
      </c>
      <c r="D6" s="23" t="s">
        <v>83</v>
      </c>
      <c r="E6" s="23">
        <v>18150</v>
      </c>
      <c r="G6" s="23" t="s">
        <v>83</v>
      </c>
      <c r="H6" s="23">
        <v>4800</v>
      </c>
      <c r="J6" s="23" t="s">
        <v>83</v>
      </c>
      <c r="K6" s="23">
        <v>68</v>
      </c>
      <c r="M6" s="23" t="s">
        <v>83</v>
      </c>
      <c r="N6" s="23">
        <v>93.7</v>
      </c>
      <c r="P6" s="23" t="s">
        <v>83</v>
      </c>
      <c r="Q6" s="23">
        <v>63.8</v>
      </c>
      <c r="Y6" s="23" t="s">
        <v>83</v>
      </c>
      <c r="Z6" s="24">
        <v>92</v>
      </c>
    </row>
    <row r="7" spans="1:26" ht="18.75" x14ac:dyDescent="0.3">
      <c r="A7" s="23" t="s">
        <v>84</v>
      </c>
      <c r="B7" s="26">
        <v>30.460791259514593</v>
      </c>
      <c r="D7" s="23" t="s">
        <v>84</v>
      </c>
      <c r="E7" s="23">
        <v>5877.85619522251</v>
      </c>
      <c r="G7" s="23" t="s">
        <v>84</v>
      </c>
      <c r="H7" s="23">
        <v>465.75486400517485</v>
      </c>
      <c r="J7" s="23" t="s">
        <v>84</v>
      </c>
      <c r="K7" s="23">
        <v>30.718582635962999</v>
      </c>
      <c r="M7" s="23" t="s">
        <v>84</v>
      </c>
      <c r="N7" s="23">
        <v>5.1674159619588735</v>
      </c>
      <c r="P7" s="23" t="s">
        <v>84</v>
      </c>
      <c r="Q7" s="23">
        <v>1.9478825624742666</v>
      </c>
      <c r="Y7" s="23" t="s">
        <v>84</v>
      </c>
      <c r="Z7" s="23">
        <v>30.460791259514593</v>
      </c>
    </row>
    <row r="8" spans="1:26" ht="18.75" x14ac:dyDescent="0.3">
      <c r="A8" s="23" t="s">
        <v>85</v>
      </c>
      <c r="B8" s="26">
        <v>927.85980415572055</v>
      </c>
      <c r="D8" s="23" t="s">
        <v>85</v>
      </c>
      <c r="E8" s="23">
        <v>34549193.451715641</v>
      </c>
      <c r="G8" s="23" t="s">
        <v>85</v>
      </c>
      <c r="H8" s="23">
        <v>216927.5933444789</v>
      </c>
      <c r="J8" s="23" t="s">
        <v>85</v>
      </c>
      <c r="K8" s="23">
        <v>943.63131916248744</v>
      </c>
      <c r="M8" s="23" t="s">
        <v>85</v>
      </c>
      <c r="N8" s="23">
        <v>26.702187723907347</v>
      </c>
      <c r="P8" s="23" t="s">
        <v>85</v>
      </c>
      <c r="Q8" s="23">
        <v>3.7942464771913156</v>
      </c>
      <c r="Y8" s="23" t="s">
        <v>85</v>
      </c>
      <c r="Z8" s="23">
        <v>927.85980415572055</v>
      </c>
    </row>
    <row r="9" spans="1:26" ht="18.75" x14ac:dyDescent="0.3">
      <c r="A9" s="23" t="s">
        <v>86</v>
      </c>
      <c r="B9" s="26">
        <v>2.9502733570331818</v>
      </c>
      <c r="D9" s="23" t="s">
        <v>86</v>
      </c>
      <c r="E9" s="23">
        <v>2.599731776322173</v>
      </c>
      <c r="G9" s="23" t="s">
        <v>86</v>
      </c>
      <c r="H9" s="23">
        <v>0.40025709352861361</v>
      </c>
      <c r="J9" s="23" t="s">
        <v>86</v>
      </c>
      <c r="K9" s="23">
        <v>0.29887723069464878</v>
      </c>
      <c r="M9" s="23" t="s">
        <v>86</v>
      </c>
      <c r="N9" s="23">
        <v>0.63678331106580854</v>
      </c>
      <c r="P9" s="23" t="s">
        <v>86</v>
      </c>
      <c r="Q9" s="23">
        <v>0.85143333551915124</v>
      </c>
      <c r="Y9" s="23" t="s">
        <v>86</v>
      </c>
      <c r="Z9" s="25">
        <v>2.9502733570331818</v>
      </c>
    </row>
    <row r="10" spans="1:26" ht="18.75" x14ac:dyDescent="0.3">
      <c r="A10" s="23" t="s">
        <v>87</v>
      </c>
      <c r="B10" s="26">
        <v>1.4906096444252928</v>
      </c>
      <c r="D10" s="23" t="s">
        <v>87</v>
      </c>
      <c r="E10" s="23">
        <v>1.591601022931888</v>
      </c>
      <c r="G10" s="23" t="s">
        <v>87</v>
      </c>
      <c r="H10" s="23">
        <v>0.14825218846067892</v>
      </c>
      <c r="J10" s="23" t="s">
        <v>87</v>
      </c>
      <c r="K10" s="23">
        <v>0.91666255619382297</v>
      </c>
      <c r="M10" s="23" t="s">
        <v>87</v>
      </c>
      <c r="N10" s="23">
        <v>0.91475005889173122</v>
      </c>
      <c r="P10" s="23" t="s">
        <v>87</v>
      </c>
      <c r="Q10" s="23">
        <v>0.91684582360338429</v>
      </c>
      <c r="Y10" s="23" t="s">
        <v>87</v>
      </c>
      <c r="Z10" s="25">
        <v>1.4906096444252928</v>
      </c>
    </row>
    <row r="11" spans="1:26" ht="18.75" x14ac:dyDescent="0.3">
      <c r="A11" s="23" t="s">
        <v>88</v>
      </c>
      <c r="B11" s="23">
        <v>197</v>
      </c>
      <c r="D11" s="23" t="s">
        <v>88</v>
      </c>
      <c r="E11" s="23">
        <v>29938</v>
      </c>
      <c r="G11" s="23" t="s">
        <v>88</v>
      </c>
      <c r="H11" s="23">
        <v>2450</v>
      </c>
      <c r="J11" s="23" t="s">
        <v>88</v>
      </c>
      <c r="K11" s="23">
        <v>152</v>
      </c>
      <c r="M11" s="23" t="s">
        <v>88</v>
      </c>
      <c r="N11" s="23">
        <v>29</v>
      </c>
      <c r="P11" s="23" t="s">
        <v>88</v>
      </c>
      <c r="Q11" s="23">
        <v>11.400000000000006</v>
      </c>
      <c r="Y11" s="23" t="s">
        <v>88</v>
      </c>
      <c r="Z11" s="23">
        <v>197</v>
      </c>
    </row>
    <row r="12" spans="1:26" ht="18.75" x14ac:dyDescent="0.3">
      <c r="A12" s="23" t="s">
        <v>89</v>
      </c>
      <c r="B12" s="23">
        <v>61</v>
      </c>
      <c r="D12" s="23" t="s">
        <v>89</v>
      </c>
      <c r="E12" s="23">
        <v>5118</v>
      </c>
      <c r="G12" s="23" t="s">
        <v>89</v>
      </c>
      <c r="H12" s="23">
        <v>4150</v>
      </c>
      <c r="J12" s="23" t="s">
        <v>89</v>
      </c>
      <c r="K12" s="23">
        <v>48</v>
      </c>
      <c r="M12" s="23" t="s">
        <v>89</v>
      </c>
      <c r="N12" s="23">
        <v>86.6</v>
      </c>
      <c r="P12" s="23" t="s">
        <v>89</v>
      </c>
      <c r="Q12" s="23">
        <v>60.3</v>
      </c>
      <c r="Y12" s="23" t="s">
        <v>89</v>
      </c>
      <c r="Z12" s="23">
        <v>61</v>
      </c>
    </row>
    <row r="13" spans="1:26" ht="18.75" x14ac:dyDescent="0.3">
      <c r="A13" s="23" t="s">
        <v>90</v>
      </c>
      <c r="B13" s="23">
        <v>258</v>
      </c>
      <c r="D13" s="23" t="s">
        <v>90</v>
      </c>
      <c r="E13" s="23">
        <v>35056</v>
      </c>
      <c r="G13" s="23" t="s">
        <v>90</v>
      </c>
      <c r="H13" s="23">
        <v>6600</v>
      </c>
      <c r="J13" s="23" t="s">
        <v>90</v>
      </c>
      <c r="K13" s="23">
        <v>200</v>
      </c>
      <c r="M13" s="23" t="s">
        <v>90</v>
      </c>
      <c r="N13" s="23">
        <v>115.6</v>
      </c>
      <c r="P13" s="23" t="s">
        <v>90</v>
      </c>
      <c r="Q13" s="23">
        <v>71.7</v>
      </c>
      <c r="Y13" s="23" t="s">
        <v>90</v>
      </c>
      <c r="Z13" s="23">
        <v>258</v>
      </c>
    </row>
    <row r="14" spans="1:26" ht="18.75" x14ac:dyDescent="0.3">
      <c r="A14" s="23" t="s">
        <v>91</v>
      </c>
      <c r="B14" s="23">
        <v>18957</v>
      </c>
      <c r="D14" s="23" t="s">
        <v>91</v>
      </c>
      <c r="E14" s="23">
        <v>1819871</v>
      </c>
      <c r="G14" s="23" t="s">
        <v>91</v>
      </c>
      <c r="H14" s="23">
        <v>813100</v>
      </c>
      <c r="J14" s="23" t="s">
        <v>91</v>
      </c>
      <c r="K14" s="23">
        <v>15238</v>
      </c>
      <c r="M14" s="23" t="s">
        <v>91</v>
      </c>
      <c r="N14" s="23">
        <v>15624.000000000015</v>
      </c>
      <c r="P14" s="23" t="s">
        <v>91</v>
      </c>
      <c r="Q14" s="23">
        <v>10431.599999999989</v>
      </c>
      <c r="Y14" s="23" t="s">
        <v>91</v>
      </c>
      <c r="Z14" s="23">
        <v>18957</v>
      </c>
    </row>
    <row r="15" spans="1:26" ht="18.75" x14ac:dyDescent="0.3">
      <c r="A15" s="23" t="s">
        <v>92</v>
      </c>
      <c r="B15" s="23">
        <v>159</v>
      </c>
      <c r="D15" s="23" t="s">
        <v>92</v>
      </c>
      <c r="E15" s="23">
        <v>159</v>
      </c>
      <c r="G15" s="23" t="s">
        <v>92</v>
      </c>
      <c r="H15" s="23">
        <v>159</v>
      </c>
      <c r="J15" s="23" t="s">
        <v>92</v>
      </c>
      <c r="K15" s="23">
        <v>159</v>
      </c>
      <c r="M15" s="23" t="s">
        <v>92</v>
      </c>
      <c r="N15" s="23">
        <v>159</v>
      </c>
      <c r="P15" s="23" t="s">
        <v>92</v>
      </c>
      <c r="Q15" s="23">
        <v>159</v>
      </c>
      <c r="Y15" s="23" t="s">
        <v>92</v>
      </c>
      <c r="Z15" s="23">
        <v>159</v>
      </c>
    </row>
    <row r="16" spans="1:26" ht="18.75" x14ac:dyDescent="0.3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</row>
    <row r="17" spans="1:17" ht="18.75" customHeight="1" x14ac:dyDescent="0.3">
      <c r="A17" s="27" t="s">
        <v>153</v>
      </c>
      <c r="B17" s="27">
        <f>1+3.322*LN(159)</f>
        <v>17.838899759775611</v>
      </c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</row>
    <row r="18" spans="1:17" ht="18.75" customHeight="1" x14ac:dyDescent="0.3">
      <c r="A18" s="27"/>
      <c r="B18" s="28">
        <f>ROUNDUP(B17,0)</f>
        <v>18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</row>
    <row r="19" spans="1:17" ht="18.75" customHeight="1" x14ac:dyDescent="0.3">
      <c r="A19" s="30" t="s">
        <v>154</v>
      </c>
      <c r="B19" s="30">
        <f>(A26-A23)/B18</f>
        <v>10.944444444444445</v>
      </c>
      <c r="C19" s="30"/>
      <c r="D19" s="30">
        <f>(C26-C23)/B18</f>
        <v>1663.2222222222222</v>
      </c>
      <c r="E19" s="30"/>
      <c r="F19" s="30"/>
      <c r="G19" s="30">
        <f>(D26-D23)/B18</f>
        <v>136.11111111111111</v>
      </c>
      <c r="H19" s="30"/>
      <c r="I19" s="30"/>
      <c r="J19" s="30">
        <f>(B26-B23)/B18</f>
        <v>8.4444444444444446</v>
      </c>
      <c r="K19" s="30"/>
      <c r="L19" s="30"/>
      <c r="M19" s="30">
        <f>(E26-E23)/B18</f>
        <v>1.6111111111111112</v>
      </c>
      <c r="N19" s="30"/>
      <c r="O19" s="30"/>
      <c r="P19" s="30">
        <f>(F26-F23)/B18</f>
        <v>0.63333333333333364</v>
      </c>
      <c r="Q19" s="27"/>
    </row>
    <row r="20" spans="1:17" ht="18.75" customHeight="1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</row>
    <row r="21" spans="1:17" ht="18.75" customHeight="1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</row>
    <row r="22" spans="1:17" ht="18.75" customHeight="1" x14ac:dyDescent="0.3">
      <c r="A22" s="29" t="s">
        <v>70</v>
      </c>
      <c r="B22" s="29" t="s">
        <v>75</v>
      </c>
      <c r="C22" s="29" t="s">
        <v>79</v>
      </c>
      <c r="D22" s="29" t="s">
        <v>76</v>
      </c>
      <c r="E22" s="29" t="s">
        <v>63</v>
      </c>
      <c r="F22" s="29" t="s">
        <v>65</v>
      </c>
      <c r="G22" s="27" t="s">
        <v>156</v>
      </c>
      <c r="N22" s="27"/>
      <c r="O22" s="27"/>
      <c r="P22" s="27"/>
      <c r="Q22" s="27"/>
    </row>
    <row r="23" spans="1:17" ht="18.75" x14ac:dyDescent="0.3">
      <c r="A23" s="29">
        <v>61</v>
      </c>
      <c r="B23" s="29">
        <v>48</v>
      </c>
      <c r="C23" s="29">
        <v>5118</v>
      </c>
      <c r="D23" s="29">
        <v>4150</v>
      </c>
      <c r="E23" s="29">
        <v>86.6</v>
      </c>
      <c r="F23" s="29">
        <v>60.3</v>
      </c>
      <c r="N23" s="27"/>
      <c r="O23" s="27"/>
      <c r="P23" s="27"/>
      <c r="Q23" s="27"/>
    </row>
    <row r="24" spans="1:17" ht="18.75" x14ac:dyDescent="0.3">
      <c r="A24" s="29"/>
      <c r="B24" s="29"/>
      <c r="C24" s="29"/>
      <c r="D24" s="29"/>
      <c r="E24" s="29"/>
      <c r="F24" s="29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</row>
    <row r="25" spans="1:17" ht="18.75" x14ac:dyDescent="0.3">
      <c r="A25" s="29" t="s">
        <v>70</v>
      </c>
      <c r="B25" s="29" t="s">
        <v>75</v>
      </c>
      <c r="C25" s="29" t="s">
        <v>79</v>
      </c>
      <c r="D25" s="29" t="s">
        <v>76</v>
      </c>
      <c r="E25" s="29" t="s">
        <v>63</v>
      </c>
      <c r="F25" s="29" t="s">
        <v>65</v>
      </c>
      <c r="G25" s="27" t="s">
        <v>155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</row>
    <row r="26" spans="1:17" ht="18.75" x14ac:dyDescent="0.3">
      <c r="A26" s="29">
        <v>258</v>
      </c>
      <c r="B26" s="29">
        <v>200</v>
      </c>
      <c r="C26" s="29">
        <v>35056</v>
      </c>
      <c r="D26" s="29">
        <v>6600</v>
      </c>
      <c r="E26" s="29">
        <v>115.6</v>
      </c>
      <c r="F26" s="29">
        <v>71.7</v>
      </c>
      <c r="G26" s="27"/>
      <c r="H26" s="27"/>
      <c r="I26" s="27"/>
    </row>
    <row r="27" spans="1:17" ht="18.75" x14ac:dyDescent="0.3">
      <c r="C27" s="27"/>
      <c r="D27" s="27"/>
      <c r="E27" s="27"/>
      <c r="F27" s="27"/>
      <c r="I27" s="27"/>
    </row>
    <row r="28" spans="1:17" ht="18.75" x14ac:dyDescent="0.3">
      <c r="A28" s="31">
        <v>1</v>
      </c>
      <c r="B28" s="32">
        <f>A23</f>
        <v>61</v>
      </c>
      <c r="C28" s="27"/>
      <c r="D28" s="31">
        <v>1</v>
      </c>
      <c r="E28" s="32">
        <f>C23</f>
        <v>5118</v>
      </c>
      <c r="F28" s="27"/>
      <c r="G28" s="31">
        <v>1</v>
      </c>
      <c r="H28" s="32">
        <f>D23</f>
        <v>4150</v>
      </c>
      <c r="I28" s="27"/>
      <c r="J28" s="31">
        <v>1</v>
      </c>
      <c r="K28" s="32">
        <f>B23</f>
        <v>48</v>
      </c>
      <c r="L28" s="27"/>
      <c r="M28" s="31">
        <v>1</v>
      </c>
      <c r="N28" s="32">
        <f>E23</f>
        <v>86.6</v>
      </c>
      <c r="O28" s="27"/>
      <c r="P28" s="31">
        <v>1</v>
      </c>
      <c r="Q28" s="32">
        <f>F23</f>
        <v>60.3</v>
      </c>
    </row>
    <row r="29" spans="1:17" ht="18.75" x14ac:dyDescent="0.3">
      <c r="A29" s="31">
        <v>2</v>
      </c>
      <c r="B29" s="32">
        <f t="shared" ref="B29:B46" si="0">B28+$B$19</f>
        <v>71.944444444444443</v>
      </c>
      <c r="C29" s="27"/>
      <c r="D29" s="31">
        <v>2</v>
      </c>
      <c r="E29" s="32">
        <f>E28+$D$19</f>
        <v>6781.2222222222226</v>
      </c>
      <c r="F29" s="27"/>
      <c r="G29" s="31">
        <v>2</v>
      </c>
      <c r="H29" s="32">
        <f>H28+$G$19</f>
        <v>4286.1111111111113</v>
      </c>
      <c r="I29" s="27"/>
      <c r="J29" s="31">
        <v>2</v>
      </c>
      <c r="K29" s="32">
        <f>K28+$J$19</f>
        <v>56.444444444444443</v>
      </c>
      <c r="L29" s="27"/>
      <c r="M29" s="31">
        <v>2</v>
      </c>
      <c r="N29" s="32">
        <f>N28+$M$19</f>
        <v>88.211111111111109</v>
      </c>
      <c r="O29" s="27"/>
      <c r="P29" s="31">
        <v>2</v>
      </c>
      <c r="Q29" s="32">
        <f>Q28+$P$19</f>
        <v>60.93333333333333</v>
      </c>
    </row>
    <row r="30" spans="1:17" ht="18.75" x14ac:dyDescent="0.3">
      <c r="A30" s="31">
        <v>3</v>
      </c>
      <c r="B30" s="32">
        <f t="shared" si="0"/>
        <v>82.888888888888886</v>
      </c>
      <c r="C30" s="27"/>
      <c r="D30" s="31">
        <v>3</v>
      </c>
      <c r="E30" s="32">
        <f t="shared" ref="E30:E46" si="1">E29+$D$19</f>
        <v>8444.4444444444453</v>
      </c>
      <c r="F30" s="27"/>
      <c r="G30" s="31">
        <v>3</v>
      </c>
      <c r="H30" s="32">
        <f t="shared" ref="H30:H46" si="2">H29+$G$19</f>
        <v>4422.2222222222226</v>
      </c>
      <c r="I30" s="27"/>
      <c r="J30" s="31">
        <v>3</v>
      </c>
      <c r="K30" s="32">
        <f t="shared" ref="K30:K46" si="3">K29+$J$19</f>
        <v>64.888888888888886</v>
      </c>
      <c r="L30" s="27"/>
      <c r="M30" s="31">
        <v>3</v>
      </c>
      <c r="N30" s="32">
        <f t="shared" ref="N30:N46" si="4">N29+$M$19</f>
        <v>89.822222222222223</v>
      </c>
      <c r="O30" s="27"/>
      <c r="P30" s="31">
        <v>3</v>
      </c>
      <c r="Q30" s="32">
        <f t="shared" ref="Q30:Q45" si="5">Q29+$P$19</f>
        <v>61.566666666666663</v>
      </c>
    </row>
    <row r="31" spans="1:17" ht="18.75" x14ac:dyDescent="0.3">
      <c r="A31" s="31">
        <v>4</v>
      </c>
      <c r="B31" s="32">
        <f t="shared" si="0"/>
        <v>93.833333333333329</v>
      </c>
      <c r="C31" s="27"/>
      <c r="D31" s="31">
        <v>4</v>
      </c>
      <c r="E31" s="32">
        <f t="shared" si="1"/>
        <v>10107.666666666668</v>
      </c>
      <c r="F31" s="27"/>
      <c r="G31" s="31">
        <v>4</v>
      </c>
      <c r="H31" s="32">
        <f t="shared" si="2"/>
        <v>4558.3333333333339</v>
      </c>
      <c r="I31" s="27"/>
      <c r="J31" s="31">
        <v>4</v>
      </c>
      <c r="K31" s="32">
        <f t="shared" si="3"/>
        <v>73.333333333333329</v>
      </c>
      <c r="L31" s="27"/>
      <c r="M31" s="31">
        <v>4</v>
      </c>
      <c r="N31" s="32">
        <f t="shared" si="4"/>
        <v>91.433333333333337</v>
      </c>
      <c r="O31" s="27"/>
      <c r="P31" s="31">
        <v>4</v>
      </c>
      <c r="Q31" s="32">
        <f t="shared" si="5"/>
        <v>62.199999999999996</v>
      </c>
    </row>
    <row r="32" spans="1:17" ht="18.75" x14ac:dyDescent="0.3">
      <c r="A32" s="31">
        <v>5</v>
      </c>
      <c r="B32" s="32">
        <f t="shared" si="0"/>
        <v>104.77777777777777</v>
      </c>
      <c r="C32" s="27"/>
      <c r="D32" s="31">
        <v>5</v>
      </c>
      <c r="E32" s="32">
        <f t="shared" si="1"/>
        <v>11770.888888888891</v>
      </c>
      <c r="F32" s="27"/>
      <c r="G32" s="31">
        <v>5</v>
      </c>
      <c r="H32" s="32">
        <f t="shared" si="2"/>
        <v>4694.4444444444453</v>
      </c>
      <c r="I32" s="27"/>
      <c r="J32" s="31">
        <v>5</v>
      </c>
      <c r="K32" s="32">
        <f t="shared" si="3"/>
        <v>81.777777777777771</v>
      </c>
      <c r="L32" s="27"/>
      <c r="M32" s="31">
        <v>5</v>
      </c>
      <c r="N32" s="32">
        <f t="shared" si="4"/>
        <v>93.044444444444451</v>
      </c>
      <c r="O32" s="27"/>
      <c r="P32" s="31">
        <v>5</v>
      </c>
      <c r="Q32" s="32">
        <f t="shared" si="5"/>
        <v>62.833333333333329</v>
      </c>
    </row>
    <row r="33" spans="1:18" ht="18.75" x14ac:dyDescent="0.3">
      <c r="A33" s="31">
        <v>6</v>
      </c>
      <c r="B33" s="32">
        <f t="shared" si="0"/>
        <v>115.72222222222221</v>
      </c>
      <c r="C33" s="27"/>
      <c r="D33" s="31">
        <v>6</v>
      </c>
      <c r="E33" s="32">
        <f t="shared" si="1"/>
        <v>13434.111111111113</v>
      </c>
      <c r="F33" s="27"/>
      <c r="G33" s="31">
        <v>6</v>
      </c>
      <c r="H33" s="32">
        <f t="shared" si="2"/>
        <v>4830.5555555555566</v>
      </c>
      <c r="I33" s="27"/>
      <c r="J33" s="31">
        <v>6</v>
      </c>
      <c r="K33" s="32">
        <f t="shared" si="3"/>
        <v>90.222222222222214</v>
      </c>
      <c r="L33" s="27"/>
      <c r="M33" s="31">
        <v>6</v>
      </c>
      <c r="N33" s="32">
        <f t="shared" si="4"/>
        <v>94.655555555555566</v>
      </c>
      <c r="O33" s="27"/>
      <c r="P33" s="31">
        <v>6</v>
      </c>
      <c r="Q33" s="32">
        <f t="shared" si="5"/>
        <v>63.466666666666661</v>
      </c>
    </row>
    <row r="34" spans="1:18" ht="18.75" x14ac:dyDescent="0.3">
      <c r="A34" s="31">
        <v>7</v>
      </c>
      <c r="B34" s="32">
        <f t="shared" si="0"/>
        <v>126.66666666666666</v>
      </c>
      <c r="C34" s="27"/>
      <c r="D34" s="31">
        <v>7</v>
      </c>
      <c r="E34" s="32">
        <f t="shared" si="1"/>
        <v>15097.333333333336</v>
      </c>
      <c r="F34" s="27"/>
      <c r="G34" s="31">
        <v>7</v>
      </c>
      <c r="H34" s="32">
        <f t="shared" si="2"/>
        <v>4966.6666666666679</v>
      </c>
      <c r="I34" s="27"/>
      <c r="J34" s="31">
        <v>7</v>
      </c>
      <c r="K34" s="32">
        <f t="shared" si="3"/>
        <v>98.666666666666657</v>
      </c>
      <c r="L34" s="27"/>
      <c r="M34" s="31">
        <v>7</v>
      </c>
      <c r="N34" s="32">
        <f t="shared" si="4"/>
        <v>96.26666666666668</v>
      </c>
      <c r="O34" s="27"/>
      <c r="P34" s="31">
        <v>7</v>
      </c>
      <c r="Q34" s="32">
        <f t="shared" si="5"/>
        <v>64.099999999999994</v>
      </c>
    </row>
    <row r="35" spans="1:18" ht="18.75" x14ac:dyDescent="0.3">
      <c r="A35" s="31">
        <v>8</v>
      </c>
      <c r="B35" s="32">
        <f t="shared" si="0"/>
        <v>137.61111111111111</v>
      </c>
      <c r="C35" s="27"/>
      <c r="D35" s="31">
        <v>8</v>
      </c>
      <c r="E35" s="32">
        <f t="shared" si="1"/>
        <v>16760.555555555558</v>
      </c>
      <c r="F35" s="27"/>
      <c r="G35" s="31">
        <v>8</v>
      </c>
      <c r="H35" s="32">
        <f t="shared" si="2"/>
        <v>5102.7777777777792</v>
      </c>
      <c r="I35" s="27"/>
      <c r="J35" s="31">
        <v>8</v>
      </c>
      <c r="K35" s="32">
        <f t="shared" si="3"/>
        <v>107.1111111111111</v>
      </c>
      <c r="L35" s="27"/>
      <c r="M35" s="31">
        <v>8</v>
      </c>
      <c r="N35" s="32">
        <f t="shared" si="4"/>
        <v>97.877777777777794</v>
      </c>
      <c r="O35" s="27"/>
      <c r="P35" s="31">
        <v>8</v>
      </c>
      <c r="Q35" s="32">
        <f t="shared" si="5"/>
        <v>64.733333333333334</v>
      </c>
    </row>
    <row r="36" spans="1:18" ht="18.75" x14ac:dyDescent="0.3">
      <c r="A36" s="31">
        <v>9</v>
      </c>
      <c r="B36" s="32">
        <f t="shared" si="0"/>
        <v>148.55555555555557</v>
      </c>
      <c r="C36" s="27"/>
      <c r="D36" s="31">
        <v>9</v>
      </c>
      <c r="E36" s="32">
        <f t="shared" si="1"/>
        <v>18423.777777777781</v>
      </c>
      <c r="F36" s="27"/>
      <c r="G36" s="31">
        <v>9</v>
      </c>
      <c r="H36" s="32">
        <f t="shared" si="2"/>
        <v>5238.8888888888905</v>
      </c>
      <c r="I36" s="27"/>
      <c r="J36" s="31">
        <v>9</v>
      </c>
      <c r="K36" s="32">
        <f t="shared" si="3"/>
        <v>115.55555555555554</v>
      </c>
      <c r="L36" s="27"/>
      <c r="M36" s="31">
        <v>9</v>
      </c>
      <c r="N36" s="32">
        <f t="shared" si="4"/>
        <v>99.488888888888908</v>
      </c>
      <c r="O36" s="27"/>
      <c r="P36" s="31">
        <v>9</v>
      </c>
      <c r="Q36" s="32">
        <f t="shared" si="5"/>
        <v>65.366666666666674</v>
      </c>
    </row>
    <row r="37" spans="1:18" ht="18.75" x14ac:dyDescent="0.3">
      <c r="A37" s="31">
        <v>10</v>
      </c>
      <c r="B37" s="32">
        <f t="shared" si="0"/>
        <v>159.50000000000003</v>
      </c>
      <c r="C37" s="27"/>
      <c r="D37" s="31">
        <v>10</v>
      </c>
      <c r="E37" s="32">
        <f t="shared" si="1"/>
        <v>20087.000000000004</v>
      </c>
      <c r="F37" s="27"/>
      <c r="G37" s="31">
        <v>10</v>
      </c>
      <c r="H37" s="32">
        <f t="shared" si="2"/>
        <v>5375.0000000000018</v>
      </c>
      <c r="I37" s="27"/>
      <c r="J37" s="31">
        <v>10</v>
      </c>
      <c r="K37" s="32">
        <f t="shared" si="3"/>
        <v>123.99999999999999</v>
      </c>
      <c r="L37" s="27"/>
      <c r="M37" s="31">
        <v>10</v>
      </c>
      <c r="N37" s="32">
        <f t="shared" si="4"/>
        <v>101.10000000000002</v>
      </c>
      <c r="O37" s="27"/>
      <c r="P37" s="31">
        <v>10</v>
      </c>
      <c r="Q37" s="32">
        <f t="shared" si="5"/>
        <v>66.000000000000014</v>
      </c>
    </row>
    <row r="38" spans="1:18" ht="18.75" x14ac:dyDescent="0.3">
      <c r="A38" s="31">
        <v>11</v>
      </c>
      <c r="B38" s="32">
        <f t="shared" si="0"/>
        <v>170.44444444444449</v>
      </c>
      <c r="C38" s="27"/>
      <c r="D38" s="31">
        <v>11</v>
      </c>
      <c r="E38" s="32">
        <f t="shared" si="1"/>
        <v>21750.222222222226</v>
      </c>
      <c r="F38" s="27"/>
      <c r="G38" s="31">
        <v>11</v>
      </c>
      <c r="H38" s="32">
        <f t="shared" si="2"/>
        <v>5511.1111111111131</v>
      </c>
      <c r="I38" s="27"/>
      <c r="J38" s="31">
        <v>11</v>
      </c>
      <c r="K38" s="32">
        <f t="shared" si="3"/>
        <v>132.44444444444443</v>
      </c>
      <c r="L38" s="27"/>
      <c r="M38" s="31">
        <v>11</v>
      </c>
      <c r="N38" s="32">
        <f t="shared" si="4"/>
        <v>102.71111111111114</v>
      </c>
      <c r="O38" s="27"/>
      <c r="P38" s="31">
        <v>11</v>
      </c>
      <c r="Q38" s="32">
        <f t="shared" si="5"/>
        <v>66.633333333333354</v>
      </c>
    </row>
    <row r="39" spans="1:18" ht="18.75" x14ac:dyDescent="0.3">
      <c r="A39" s="31">
        <v>12</v>
      </c>
      <c r="B39" s="32">
        <f t="shared" si="0"/>
        <v>181.38888888888894</v>
      </c>
      <c r="C39" s="27"/>
      <c r="D39" s="31">
        <v>12</v>
      </c>
      <c r="E39" s="32">
        <f t="shared" si="1"/>
        <v>23413.444444444449</v>
      </c>
      <c r="F39" s="27"/>
      <c r="G39" s="31">
        <v>12</v>
      </c>
      <c r="H39" s="32">
        <f t="shared" si="2"/>
        <v>5647.2222222222244</v>
      </c>
      <c r="I39" s="27"/>
      <c r="J39" s="31">
        <v>12</v>
      </c>
      <c r="K39" s="32">
        <f t="shared" si="3"/>
        <v>140.88888888888889</v>
      </c>
      <c r="L39" s="27"/>
      <c r="M39" s="31">
        <v>12</v>
      </c>
      <c r="N39" s="32">
        <f t="shared" si="4"/>
        <v>104.32222222222225</v>
      </c>
      <c r="O39" s="27"/>
      <c r="P39" s="31">
        <v>12</v>
      </c>
      <c r="Q39" s="32">
        <f t="shared" si="5"/>
        <v>67.266666666666694</v>
      </c>
    </row>
    <row r="40" spans="1:18" ht="18.75" x14ac:dyDescent="0.3">
      <c r="A40" s="31">
        <v>13</v>
      </c>
      <c r="B40" s="32">
        <f t="shared" si="0"/>
        <v>192.3333333333334</v>
      </c>
      <c r="C40" s="27"/>
      <c r="D40" s="31">
        <v>13</v>
      </c>
      <c r="E40" s="32">
        <f t="shared" si="1"/>
        <v>25076.666666666672</v>
      </c>
      <c r="F40" s="27"/>
      <c r="G40" s="31">
        <v>13</v>
      </c>
      <c r="H40" s="32">
        <f t="shared" si="2"/>
        <v>5783.3333333333358</v>
      </c>
      <c r="I40" s="27"/>
      <c r="J40" s="31">
        <v>13</v>
      </c>
      <c r="K40" s="32">
        <f t="shared" si="3"/>
        <v>149.33333333333334</v>
      </c>
      <c r="L40" s="27"/>
      <c r="M40" s="31">
        <v>13</v>
      </c>
      <c r="N40" s="32">
        <f t="shared" si="4"/>
        <v>105.93333333333337</v>
      </c>
      <c r="O40" s="27"/>
      <c r="P40" s="31">
        <v>13</v>
      </c>
      <c r="Q40" s="32">
        <f t="shared" si="5"/>
        <v>67.900000000000034</v>
      </c>
    </row>
    <row r="41" spans="1:18" ht="18.75" x14ac:dyDescent="0.3">
      <c r="A41" s="31">
        <v>14</v>
      </c>
      <c r="B41" s="32">
        <f t="shared" si="0"/>
        <v>203.27777777777786</v>
      </c>
      <c r="C41" s="27"/>
      <c r="D41" s="31">
        <v>14</v>
      </c>
      <c r="E41" s="32">
        <f t="shared" si="1"/>
        <v>26739.888888888894</v>
      </c>
      <c r="F41" s="27"/>
      <c r="G41" s="31">
        <v>14</v>
      </c>
      <c r="H41" s="32">
        <f t="shared" si="2"/>
        <v>5919.4444444444471</v>
      </c>
      <c r="I41" s="27"/>
      <c r="J41" s="31">
        <v>14</v>
      </c>
      <c r="K41" s="32">
        <f t="shared" si="3"/>
        <v>157.7777777777778</v>
      </c>
      <c r="L41" s="27"/>
      <c r="M41" s="31">
        <v>14</v>
      </c>
      <c r="N41" s="32">
        <f t="shared" si="4"/>
        <v>107.54444444444448</v>
      </c>
      <c r="O41" s="27"/>
      <c r="P41" s="31">
        <v>14</v>
      </c>
      <c r="Q41" s="32">
        <f t="shared" si="5"/>
        <v>68.533333333333374</v>
      </c>
    </row>
    <row r="42" spans="1:18" ht="18.75" x14ac:dyDescent="0.3">
      <c r="A42" s="31">
        <v>15</v>
      </c>
      <c r="B42" s="32">
        <f t="shared" si="0"/>
        <v>214.22222222222231</v>
      </c>
      <c r="C42" s="27"/>
      <c r="D42" s="31">
        <v>15</v>
      </c>
      <c r="E42" s="32">
        <f t="shared" si="1"/>
        <v>28403.111111111117</v>
      </c>
      <c r="F42" s="27"/>
      <c r="G42" s="31">
        <v>15</v>
      </c>
      <c r="H42" s="32">
        <f t="shared" si="2"/>
        <v>6055.5555555555584</v>
      </c>
      <c r="I42" s="27"/>
      <c r="J42" s="31">
        <v>15</v>
      </c>
      <c r="K42" s="32">
        <f t="shared" si="3"/>
        <v>166.22222222222226</v>
      </c>
      <c r="L42" s="27"/>
      <c r="M42" s="31">
        <v>15</v>
      </c>
      <c r="N42" s="32">
        <f t="shared" si="4"/>
        <v>109.15555555555559</v>
      </c>
      <c r="O42" s="27"/>
      <c r="P42" s="31">
        <v>15</v>
      </c>
      <c r="Q42" s="32">
        <f t="shared" si="5"/>
        <v>69.166666666666714</v>
      </c>
    </row>
    <row r="43" spans="1:18" ht="18.75" x14ac:dyDescent="0.3">
      <c r="A43" s="31">
        <v>16</v>
      </c>
      <c r="B43" s="32">
        <f t="shared" si="0"/>
        <v>225.16666666666677</v>
      </c>
      <c r="C43" s="27"/>
      <c r="D43" s="31">
        <v>16</v>
      </c>
      <c r="E43" s="32">
        <f t="shared" si="1"/>
        <v>30066.333333333339</v>
      </c>
      <c r="F43" s="27"/>
      <c r="G43" s="31">
        <v>16</v>
      </c>
      <c r="H43" s="32">
        <f t="shared" si="2"/>
        <v>6191.6666666666697</v>
      </c>
      <c r="I43" s="27"/>
      <c r="J43" s="31">
        <v>16</v>
      </c>
      <c r="K43" s="32">
        <f t="shared" si="3"/>
        <v>174.66666666666671</v>
      </c>
      <c r="L43" s="27"/>
      <c r="M43" s="31">
        <v>16</v>
      </c>
      <c r="N43" s="32">
        <f t="shared" si="4"/>
        <v>110.76666666666671</v>
      </c>
      <c r="O43" s="27"/>
      <c r="P43" s="31">
        <v>16</v>
      </c>
      <c r="Q43" s="32">
        <f t="shared" si="5"/>
        <v>69.800000000000054</v>
      </c>
    </row>
    <row r="44" spans="1:18" ht="18.75" x14ac:dyDescent="0.3">
      <c r="A44" s="31">
        <v>17</v>
      </c>
      <c r="B44" s="32">
        <f t="shared" si="0"/>
        <v>236.11111111111123</v>
      </c>
      <c r="C44" s="27"/>
      <c r="D44" s="31">
        <v>17</v>
      </c>
      <c r="E44" s="32">
        <f t="shared" si="1"/>
        <v>31729.555555555562</v>
      </c>
      <c r="F44" s="27"/>
      <c r="G44" s="31">
        <v>17</v>
      </c>
      <c r="H44" s="32">
        <f t="shared" si="2"/>
        <v>6327.777777777781</v>
      </c>
      <c r="I44" s="27"/>
      <c r="J44" s="31">
        <v>17</v>
      </c>
      <c r="K44" s="32">
        <f t="shared" si="3"/>
        <v>183.11111111111117</v>
      </c>
      <c r="L44" s="27"/>
      <c r="M44" s="31">
        <v>17</v>
      </c>
      <c r="N44" s="32">
        <f t="shared" si="4"/>
        <v>112.37777777777782</v>
      </c>
      <c r="O44" s="27"/>
      <c r="P44" s="31">
        <v>17</v>
      </c>
      <c r="Q44" s="32">
        <f t="shared" si="5"/>
        <v>70.433333333333394</v>
      </c>
    </row>
    <row r="45" spans="1:18" ht="18.75" x14ac:dyDescent="0.3">
      <c r="A45" s="31">
        <v>18</v>
      </c>
      <c r="B45" s="32">
        <f t="shared" si="0"/>
        <v>247.05555555555569</v>
      </c>
      <c r="C45" s="27"/>
      <c r="D45" s="31">
        <v>18</v>
      </c>
      <c r="E45" s="32">
        <f t="shared" si="1"/>
        <v>33392.777777777781</v>
      </c>
      <c r="F45" s="27"/>
      <c r="G45" s="31">
        <v>18</v>
      </c>
      <c r="H45" s="32">
        <f t="shared" si="2"/>
        <v>6463.8888888888923</v>
      </c>
      <c r="I45" s="27"/>
      <c r="J45" s="31">
        <v>18</v>
      </c>
      <c r="K45" s="32">
        <f t="shared" si="3"/>
        <v>191.55555555555563</v>
      </c>
      <c r="L45" s="27"/>
      <c r="M45" s="31">
        <v>18</v>
      </c>
      <c r="N45" s="32">
        <f t="shared" si="4"/>
        <v>113.98888888888894</v>
      </c>
      <c r="O45" s="27"/>
      <c r="P45" s="31">
        <v>18</v>
      </c>
      <c r="Q45" s="32">
        <f t="shared" si="5"/>
        <v>71.066666666666734</v>
      </c>
    </row>
    <row r="46" spans="1:18" ht="18.75" x14ac:dyDescent="0.3">
      <c r="A46" s="31">
        <v>19</v>
      </c>
      <c r="B46" s="32">
        <f t="shared" si="0"/>
        <v>258.00000000000011</v>
      </c>
      <c r="C46" s="27"/>
      <c r="D46" s="31">
        <v>19</v>
      </c>
      <c r="E46" s="32">
        <f t="shared" si="1"/>
        <v>35056</v>
      </c>
      <c r="F46" s="27"/>
      <c r="G46" s="31">
        <v>19</v>
      </c>
      <c r="H46" s="32">
        <f t="shared" si="2"/>
        <v>6600.0000000000036</v>
      </c>
      <c r="I46" s="27"/>
      <c r="J46" s="31">
        <v>19</v>
      </c>
      <c r="K46" s="32">
        <f t="shared" si="3"/>
        <v>200.00000000000009</v>
      </c>
      <c r="L46" s="27"/>
      <c r="M46" s="31">
        <v>19</v>
      </c>
      <c r="N46" s="32">
        <f t="shared" si="4"/>
        <v>115.60000000000005</v>
      </c>
      <c r="O46" s="27"/>
      <c r="P46" s="31">
        <v>19</v>
      </c>
      <c r="Q46" s="32">
        <f>Q45+$P$19</f>
        <v>71.700000000000074</v>
      </c>
    </row>
    <row r="47" spans="1:18" ht="18.75" x14ac:dyDescent="0.3">
      <c r="A47" s="33"/>
      <c r="B47" s="33"/>
      <c r="C47" s="34"/>
      <c r="D47" s="35"/>
      <c r="E47" s="34"/>
      <c r="F47" s="34"/>
      <c r="G47" s="35"/>
      <c r="H47" s="34"/>
      <c r="I47" s="34"/>
      <c r="J47" s="35"/>
      <c r="K47" s="34"/>
      <c r="L47" s="34"/>
      <c r="M47" s="35"/>
      <c r="N47" s="34"/>
      <c r="O47" s="34"/>
      <c r="P47" s="35"/>
      <c r="Q47" s="34"/>
      <c r="R47" s="33"/>
    </row>
    <row r="48" spans="1:18" ht="18.75" x14ac:dyDescent="0.3">
      <c r="A48" s="36" t="s">
        <v>157</v>
      </c>
      <c r="B48" s="36" t="s">
        <v>159</v>
      </c>
      <c r="C48" s="34"/>
      <c r="D48" s="36" t="s">
        <v>157</v>
      </c>
      <c r="E48" s="36" t="s">
        <v>159</v>
      </c>
      <c r="F48" s="34"/>
      <c r="G48" s="36" t="s">
        <v>157</v>
      </c>
      <c r="H48" s="36" t="s">
        <v>159</v>
      </c>
      <c r="I48" s="34"/>
      <c r="J48" s="36" t="s">
        <v>157</v>
      </c>
      <c r="K48" s="36" t="s">
        <v>159</v>
      </c>
      <c r="L48" s="34"/>
      <c r="M48" s="36" t="s">
        <v>157</v>
      </c>
      <c r="N48" s="36" t="s">
        <v>159</v>
      </c>
      <c r="O48" s="34"/>
      <c r="P48" s="36" t="s">
        <v>157</v>
      </c>
      <c r="Q48" s="36" t="s">
        <v>159</v>
      </c>
      <c r="R48" s="33"/>
    </row>
    <row r="49" spans="1:18" ht="18.75" x14ac:dyDescent="0.3">
      <c r="A49" s="37">
        <v>61</v>
      </c>
      <c r="B49" s="38">
        <v>1</v>
      </c>
      <c r="C49" s="34"/>
      <c r="D49" s="37">
        <v>5118</v>
      </c>
      <c r="E49" s="38">
        <v>1</v>
      </c>
      <c r="F49" s="34"/>
      <c r="G49" s="37">
        <v>4150</v>
      </c>
      <c r="H49" s="38">
        <v>3</v>
      </c>
      <c r="I49" s="34"/>
      <c r="J49" s="37">
        <v>48</v>
      </c>
      <c r="K49" s="38">
        <v>1</v>
      </c>
      <c r="L49" s="34"/>
      <c r="M49" s="37">
        <v>86.6</v>
      </c>
      <c r="N49" s="38">
        <v>2</v>
      </c>
      <c r="O49" s="34"/>
      <c r="P49" s="37">
        <v>60.3</v>
      </c>
      <c r="Q49" s="38">
        <v>1</v>
      </c>
      <c r="R49" s="33"/>
    </row>
    <row r="50" spans="1:18" ht="18.75" x14ac:dyDescent="0.3">
      <c r="A50" s="37">
        <v>71.944444444444443</v>
      </c>
      <c r="B50" s="38">
        <v>0</v>
      </c>
      <c r="C50" s="34"/>
      <c r="D50" s="37">
        <v>6781.2222222222226</v>
      </c>
      <c r="E50" s="38">
        <v>24</v>
      </c>
      <c r="F50" s="34"/>
      <c r="G50" s="37">
        <v>4286.1111111111113</v>
      </c>
      <c r="H50" s="38">
        <v>6</v>
      </c>
      <c r="I50" s="34"/>
      <c r="J50" s="37">
        <v>56.444444444444443</v>
      </c>
      <c r="K50" s="38">
        <v>5</v>
      </c>
      <c r="L50" s="34"/>
      <c r="M50" s="37">
        <v>88.211111111111109</v>
      </c>
      <c r="N50" s="38">
        <v>0</v>
      </c>
      <c r="O50" s="34"/>
      <c r="P50" s="37">
        <v>60.93333333333333</v>
      </c>
      <c r="Q50" s="38">
        <v>0</v>
      </c>
      <c r="R50" s="33"/>
    </row>
    <row r="51" spans="1:18" ht="18.75" x14ac:dyDescent="0.3">
      <c r="A51" s="37">
        <v>82.888888888888886</v>
      </c>
      <c r="B51" s="38">
        <v>1</v>
      </c>
      <c r="C51" s="34"/>
      <c r="D51" s="37">
        <v>8444.4444444444453</v>
      </c>
      <c r="E51" s="38">
        <v>42</v>
      </c>
      <c r="F51" s="34"/>
      <c r="G51" s="37">
        <v>4422.2222222222226</v>
      </c>
      <c r="H51" s="38">
        <v>7</v>
      </c>
      <c r="I51" s="34"/>
      <c r="J51" s="37">
        <v>64.888888888888886</v>
      </c>
      <c r="K51" s="38">
        <v>8</v>
      </c>
      <c r="L51" s="34"/>
      <c r="M51" s="37">
        <v>89.822222222222223</v>
      </c>
      <c r="N51" s="38">
        <v>1</v>
      </c>
      <c r="O51" s="34"/>
      <c r="P51" s="37">
        <v>61.566666666666663</v>
      </c>
      <c r="Q51" s="38">
        <v>0</v>
      </c>
      <c r="R51" s="33"/>
    </row>
    <row r="52" spans="1:18" ht="18.75" x14ac:dyDescent="0.3">
      <c r="A52" s="37">
        <v>93.833333333333329</v>
      </c>
      <c r="B52" s="38">
        <v>30</v>
      </c>
      <c r="C52" s="34"/>
      <c r="D52" s="37">
        <v>10107.666666666668</v>
      </c>
      <c r="E52" s="38">
        <v>27</v>
      </c>
      <c r="F52" s="34"/>
      <c r="G52" s="37">
        <v>4558.3333333333339</v>
      </c>
      <c r="H52" s="38">
        <v>4</v>
      </c>
      <c r="I52" s="34"/>
      <c r="J52" s="37">
        <v>73.333333333333329</v>
      </c>
      <c r="K52" s="38">
        <v>40</v>
      </c>
      <c r="L52" s="34"/>
      <c r="M52" s="37">
        <v>91.433333333333337</v>
      </c>
      <c r="N52" s="38">
        <v>2</v>
      </c>
      <c r="O52" s="34"/>
      <c r="P52" s="37">
        <v>62.199999999999996</v>
      </c>
      <c r="Q52" s="38">
        <v>0</v>
      </c>
      <c r="R52" s="33"/>
    </row>
    <row r="53" spans="1:18" ht="18.75" x14ac:dyDescent="0.3">
      <c r="A53" s="37">
        <v>104.77777777777777</v>
      </c>
      <c r="B53" s="38">
        <v>27</v>
      </c>
      <c r="C53" s="27"/>
      <c r="D53" s="37">
        <v>11770.888888888891</v>
      </c>
      <c r="E53" s="38">
        <v>13</v>
      </c>
      <c r="F53" s="27"/>
      <c r="G53" s="37">
        <v>4694.4444444444453</v>
      </c>
      <c r="H53" s="38">
        <v>0</v>
      </c>
      <c r="I53" s="27"/>
      <c r="J53" s="37">
        <v>81.777777777777771</v>
      </c>
      <c r="K53" s="38">
        <v>5</v>
      </c>
      <c r="L53" s="27"/>
      <c r="M53" s="37">
        <v>93.044444444444451</v>
      </c>
      <c r="N53" s="38">
        <v>1</v>
      </c>
      <c r="O53" s="27"/>
      <c r="P53" s="37">
        <v>62.833333333333329</v>
      </c>
      <c r="Q53" s="38">
        <v>1</v>
      </c>
    </row>
    <row r="54" spans="1:18" ht="18.75" x14ac:dyDescent="0.3">
      <c r="A54" s="37">
        <v>115.72222222222221</v>
      </c>
      <c r="B54" s="38">
        <v>31</v>
      </c>
      <c r="C54" s="27"/>
      <c r="D54" s="37">
        <v>13434.111111111113</v>
      </c>
      <c r="E54" s="38">
        <v>8</v>
      </c>
      <c r="F54" s="27"/>
      <c r="G54" s="37">
        <v>4830.5555555555566</v>
      </c>
      <c r="H54" s="38">
        <v>37</v>
      </c>
      <c r="I54" s="27"/>
      <c r="J54" s="37">
        <v>90.222222222222214</v>
      </c>
      <c r="K54" s="38">
        <v>23</v>
      </c>
      <c r="L54" s="27"/>
      <c r="M54" s="37">
        <v>94.655555555555566</v>
      </c>
      <c r="N54" s="38">
        <v>42</v>
      </c>
      <c r="O54" s="27"/>
      <c r="P54" s="37">
        <v>63.466666666666661</v>
      </c>
      <c r="Q54" s="38">
        <v>1</v>
      </c>
    </row>
    <row r="55" spans="1:18" ht="18.75" x14ac:dyDescent="0.3">
      <c r="A55" s="37">
        <v>126.66666666666666</v>
      </c>
      <c r="B55" s="38">
        <v>25</v>
      </c>
      <c r="C55" s="27"/>
      <c r="D55" s="37">
        <v>15097.333333333336</v>
      </c>
      <c r="E55" s="38">
        <v>5</v>
      </c>
      <c r="F55" s="27"/>
      <c r="G55" s="37">
        <v>4966.6666666666679</v>
      </c>
      <c r="H55" s="38">
        <v>1</v>
      </c>
      <c r="I55" s="27"/>
      <c r="J55" s="37">
        <v>98.666666666666657</v>
      </c>
      <c r="K55" s="38">
        <v>14</v>
      </c>
      <c r="L55" s="27"/>
      <c r="M55" s="37">
        <v>96.26666666666668</v>
      </c>
      <c r="N55" s="38">
        <v>15</v>
      </c>
      <c r="O55" s="27"/>
      <c r="P55" s="37">
        <v>64.099999999999994</v>
      </c>
      <c r="Q55" s="38">
        <v>44</v>
      </c>
    </row>
    <row r="56" spans="1:18" ht="18.75" x14ac:dyDescent="0.3">
      <c r="A56" s="37">
        <v>137.61111111111111</v>
      </c>
      <c r="B56" s="38">
        <v>6</v>
      </c>
      <c r="C56" s="27"/>
      <c r="D56" s="37">
        <v>16760.555555555558</v>
      </c>
      <c r="E56" s="38">
        <v>9</v>
      </c>
      <c r="F56" s="27"/>
      <c r="G56" s="37">
        <v>5102.7777777777792</v>
      </c>
      <c r="H56" s="38">
        <v>18</v>
      </c>
      <c r="I56" s="27"/>
      <c r="J56" s="37">
        <v>107.1111111111111</v>
      </c>
      <c r="K56" s="38">
        <v>10</v>
      </c>
      <c r="L56" s="27"/>
      <c r="M56" s="37">
        <v>97.877777777777794</v>
      </c>
      <c r="N56" s="38">
        <v>33</v>
      </c>
      <c r="O56" s="27"/>
      <c r="P56" s="37">
        <v>64.733333333333334</v>
      </c>
      <c r="Q56" s="38">
        <v>17</v>
      </c>
    </row>
    <row r="57" spans="1:18" ht="18.75" x14ac:dyDescent="0.3">
      <c r="A57" s="37">
        <v>148.55555555555557</v>
      </c>
      <c r="B57" s="38">
        <v>15</v>
      </c>
      <c r="C57" s="27"/>
      <c r="D57" s="37">
        <v>18423.777777777781</v>
      </c>
      <c r="E57" s="38">
        <v>13</v>
      </c>
      <c r="F57" s="27"/>
      <c r="G57" s="37">
        <v>5238.8888888888905</v>
      </c>
      <c r="H57" s="38">
        <v>22</v>
      </c>
      <c r="I57" s="27"/>
      <c r="J57" s="37">
        <v>115.55555555555554</v>
      </c>
      <c r="K57" s="38">
        <v>16</v>
      </c>
      <c r="L57" s="27"/>
      <c r="M57" s="37">
        <v>99.488888888888908</v>
      </c>
      <c r="N57" s="38">
        <v>19</v>
      </c>
      <c r="O57" s="27"/>
      <c r="P57" s="37">
        <v>65.366666666666674</v>
      </c>
      <c r="Q57" s="38">
        <v>10</v>
      </c>
    </row>
    <row r="58" spans="1:18" ht="18.75" x14ac:dyDescent="0.3">
      <c r="A58" s="37">
        <v>159.50000000000003</v>
      </c>
      <c r="B58" s="38">
        <v>5</v>
      </c>
      <c r="C58" s="27"/>
      <c r="D58" s="37">
        <v>20087.000000000004</v>
      </c>
      <c r="E58" s="38">
        <v>4</v>
      </c>
      <c r="F58" s="27"/>
      <c r="G58" s="37">
        <v>5375.0000000000018</v>
      </c>
      <c r="H58" s="38">
        <v>8</v>
      </c>
      <c r="I58" s="27"/>
      <c r="J58" s="37">
        <v>123.99999999999999</v>
      </c>
      <c r="K58" s="38">
        <v>16</v>
      </c>
      <c r="L58" s="27"/>
      <c r="M58" s="37">
        <v>101.10000000000002</v>
      </c>
      <c r="N58" s="38">
        <v>4</v>
      </c>
      <c r="O58" s="27"/>
      <c r="P58" s="37">
        <v>66.000000000000014</v>
      </c>
      <c r="Q58" s="38">
        <v>29</v>
      </c>
    </row>
    <row r="59" spans="1:18" ht="18.75" x14ac:dyDescent="0.3">
      <c r="A59" s="37">
        <v>170.44444444444449</v>
      </c>
      <c r="B59" s="38">
        <v>2</v>
      </c>
      <c r="C59" s="27"/>
      <c r="D59" s="37">
        <v>21750.222222222226</v>
      </c>
      <c r="E59" s="38">
        <v>3</v>
      </c>
      <c r="F59" s="27"/>
      <c r="G59" s="37">
        <v>5511.1111111111131</v>
      </c>
      <c r="H59" s="38">
        <v>38</v>
      </c>
      <c r="I59" s="27"/>
      <c r="J59" s="37">
        <v>132.44444444444443</v>
      </c>
      <c r="K59" s="38">
        <v>0</v>
      </c>
      <c r="L59" s="27"/>
      <c r="M59" s="37">
        <v>102.71111111111114</v>
      </c>
      <c r="N59" s="38">
        <v>9</v>
      </c>
      <c r="O59" s="27"/>
      <c r="P59" s="37">
        <v>66.633333333333354</v>
      </c>
      <c r="Q59" s="38">
        <v>24</v>
      </c>
    </row>
    <row r="60" spans="1:18" ht="18.75" x14ac:dyDescent="0.3">
      <c r="A60" s="37">
        <v>181.38888888888894</v>
      </c>
      <c r="B60" s="38">
        <v>10</v>
      </c>
      <c r="C60" s="27"/>
      <c r="D60" s="37">
        <v>23413.444444444449</v>
      </c>
      <c r="E60" s="38">
        <v>3</v>
      </c>
      <c r="F60" s="27"/>
      <c r="G60" s="37">
        <v>5647.2222222222244</v>
      </c>
      <c r="H60" s="38">
        <v>1</v>
      </c>
      <c r="I60" s="27"/>
      <c r="J60" s="37">
        <v>140.88888888888889</v>
      </c>
      <c r="K60" s="38">
        <v>2</v>
      </c>
      <c r="L60" s="27"/>
      <c r="M60" s="37">
        <v>104.32222222222225</v>
      </c>
      <c r="N60" s="38">
        <v>10</v>
      </c>
      <c r="O60" s="27"/>
      <c r="P60" s="37">
        <v>67.266666666666694</v>
      </c>
      <c r="Q60" s="38">
        <v>6</v>
      </c>
    </row>
    <row r="61" spans="1:18" x14ac:dyDescent="0.25">
      <c r="A61" s="37">
        <v>192.3333333333334</v>
      </c>
      <c r="B61" s="38">
        <v>4</v>
      </c>
      <c r="D61" s="37">
        <v>25076.666666666672</v>
      </c>
      <c r="E61" s="38">
        <v>1</v>
      </c>
      <c r="G61" s="37">
        <v>5783.3333333333358</v>
      </c>
      <c r="H61" s="38">
        <v>0</v>
      </c>
      <c r="J61" s="37">
        <v>149.33333333333334</v>
      </c>
      <c r="K61" s="38">
        <v>3</v>
      </c>
      <c r="M61" s="37">
        <v>105.93333333333337</v>
      </c>
      <c r="N61" s="38">
        <v>4</v>
      </c>
      <c r="P61" s="37">
        <v>67.900000000000034</v>
      </c>
      <c r="Q61" s="38">
        <v>5</v>
      </c>
    </row>
    <row r="62" spans="1:18" x14ac:dyDescent="0.25">
      <c r="A62" s="37">
        <v>203.27777777777786</v>
      </c>
      <c r="B62" s="38">
        <v>0</v>
      </c>
      <c r="D62" s="37">
        <v>26739.888888888894</v>
      </c>
      <c r="E62" s="38">
        <v>1</v>
      </c>
      <c r="G62" s="37">
        <v>5919.4444444444471</v>
      </c>
      <c r="H62" s="38">
        <v>7</v>
      </c>
      <c r="J62" s="37">
        <v>157.7777777777778</v>
      </c>
      <c r="K62" s="38">
        <v>5</v>
      </c>
      <c r="M62" s="37">
        <v>107.54444444444448</v>
      </c>
      <c r="N62" s="38">
        <v>1</v>
      </c>
      <c r="P62" s="37">
        <v>68.533333333333374</v>
      </c>
      <c r="Q62" s="38">
        <v>8</v>
      </c>
    </row>
    <row r="63" spans="1:18" x14ac:dyDescent="0.25">
      <c r="A63" s="37">
        <v>214.22222222222231</v>
      </c>
      <c r="B63" s="38">
        <v>0</v>
      </c>
      <c r="C63" s="33"/>
      <c r="D63" s="37">
        <v>28403.111111111117</v>
      </c>
      <c r="E63" s="38">
        <v>2</v>
      </c>
      <c r="F63" s="33"/>
      <c r="G63" s="37">
        <v>6055.5555555555584</v>
      </c>
      <c r="H63" s="38">
        <v>5</v>
      </c>
      <c r="I63" s="33"/>
      <c r="J63" s="37">
        <v>166.22222222222226</v>
      </c>
      <c r="K63" s="38">
        <v>9</v>
      </c>
      <c r="M63" s="37">
        <v>109.15555555555559</v>
      </c>
      <c r="N63" s="38">
        <v>12</v>
      </c>
      <c r="P63" s="37">
        <v>69.166666666666714</v>
      </c>
      <c r="Q63" s="38">
        <v>5</v>
      </c>
    </row>
    <row r="64" spans="1:18" x14ac:dyDescent="0.25">
      <c r="A64" s="37">
        <v>225.16666666666677</v>
      </c>
      <c r="B64" s="38">
        <v>0</v>
      </c>
      <c r="C64" s="33"/>
      <c r="D64" s="37">
        <v>30066.333333333339</v>
      </c>
      <c r="E64" s="38">
        <v>0</v>
      </c>
      <c r="F64" s="33"/>
      <c r="G64" s="37">
        <v>6191.6666666666697</v>
      </c>
      <c r="H64" s="38">
        <v>0</v>
      </c>
      <c r="I64" s="33"/>
      <c r="J64" s="37">
        <v>174.66666666666671</v>
      </c>
      <c r="K64" s="38">
        <v>0</v>
      </c>
      <c r="M64" s="37">
        <v>110.76666666666671</v>
      </c>
      <c r="N64" s="38">
        <v>2</v>
      </c>
      <c r="P64" s="37">
        <v>69.800000000000054</v>
      </c>
      <c r="Q64" s="38">
        <v>1</v>
      </c>
    </row>
    <row r="65" spans="1:17" x14ac:dyDescent="0.25">
      <c r="A65" s="37">
        <v>236.11111111111123</v>
      </c>
      <c r="B65" s="38">
        <v>1</v>
      </c>
      <c r="C65" s="33"/>
      <c r="D65" s="37">
        <v>31729.555555555562</v>
      </c>
      <c r="E65" s="38">
        <v>1</v>
      </c>
      <c r="F65" s="33"/>
      <c r="G65" s="37">
        <v>6327.777777777781</v>
      </c>
      <c r="H65" s="38">
        <v>0</v>
      </c>
      <c r="I65" s="33"/>
      <c r="J65" s="37">
        <v>183.11111111111117</v>
      </c>
      <c r="K65" s="38">
        <v>1</v>
      </c>
      <c r="M65" s="37">
        <v>112.37777777777782</v>
      </c>
      <c r="N65" s="38">
        <v>0</v>
      </c>
      <c r="P65" s="37">
        <v>70.433333333333394</v>
      </c>
      <c r="Q65" s="38">
        <v>3</v>
      </c>
    </row>
    <row r="66" spans="1:17" x14ac:dyDescent="0.25">
      <c r="A66" s="37">
        <v>247.05555555555569</v>
      </c>
      <c r="B66" s="38">
        <v>0</v>
      </c>
      <c r="C66" s="33"/>
      <c r="D66" s="37">
        <v>33392.777777777781</v>
      </c>
      <c r="E66" s="38">
        <v>1</v>
      </c>
      <c r="F66" s="33"/>
      <c r="G66" s="37">
        <v>6463.8888888888923</v>
      </c>
      <c r="H66" s="38">
        <v>0</v>
      </c>
      <c r="I66" s="33"/>
      <c r="J66" s="37">
        <v>191.55555555555563</v>
      </c>
      <c r="K66" s="38">
        <v>0</v>
      </c>
      <c r="M66" s="37">
        <v>113.98888888888894</v>
      </c>
      <c r="N66" s="38">
        <v>1</v>
      </c>
      <c r="P66" s="37">
        <v>71.066666666666734</v>
      </c>
      <c r="Q66" s="38">
        <v>1</v>
      </c>
    </row>
    <row r="67" spans="1:17" x14ac:dyDescent="0.25">
      <c r="A67" s="37">
        <v>258.00000000000011</v>
      </c>
      <c r="B67" s="38">
        <v>1</v>
      </c>
      <c r="C67" s="33"/>
      <c r="D67" s="37">
        <v>35056</v>
      </c>
      <c r="E67" s="38">
        <v>1</v>
      </c>
      <c r="F67" s="33"/>
      <c r="G67" s="37">
        <v>6600.0000000000036</v>
      </c>
      <c r="H67" s="38">
        <v>2</v>
      </c>
      <c r="I67" s="33"/>
      <c r="J67" s="37">
        <v>200.00000000000009</v>
      </c>
      <c r="K67" s="38">
        <v>1</v>
      </c>
      <c r="M67" s="37">
        <v>115.60000000000005</v>
      </c>
      <c r="N67" s="38">
        <v>1</v>
      </c>
      <c r="P67" s="37">
        <v>71.700000000000074</v>
      </c>
      <c r="Q67" s="38">
        <v>3</v>
      </c>
    </row>
    <row r="68" spans="1:17" x14ac:dyDescent="0.25">
      <c r="A68" s="38" t="s">
        <v>158</v>
      </c>
      <c r="B68" s="38">
        <v>0</v>
      </c>
      <c r="C68" s="33"/>
      <c r="D68" s="38" t="s">
        <v>158</v>
      </c>
      <c r="E68" s="38">
        <v>0</v>
      </c>
      <c r="F68" s="33"/>
      <c r="G68" s="38" t="s">
        <v>158</v>
      </c>
      <c r="H68" s="38">
        <v>0</v>
      </c>
      <c r="I68" s="33"/>
      <c r="J68" s="38" t="s">
        <v>158</v>
      </c>
      <c r="K68" s="38">
        <v>0</v>
      </c>
      <c r="M68" s="38" t="s">
        <v>158</v>
      </c>
      <c r="N68" s="38">
        <v>0</v>
      </c>
      <c r="P68" s="38" t="s">
        <v>158</v>
      </c>
      <c r="Q68" s="38">
        <v>0</v>
      </c>
    </row>
    <row r="69" spans="1:17" x14ac:dyDescent="0.25">
      <c r="A69" s="33"/>
      <c r="B69" s="33"/>
      <c r="C69" s="33"/>
      <c r="D69" s="33"/>
      <c r="E69" s="33"/>
      <c r="F69" s="33"/>
      <c r="G69" s="33"/>
      <c r="H69" s="33"/>
      <c r="I69" s="33"/>
    </row>
    <row r="70" spans="1:17" x14ac:dyDescent="0.25">
      <c r="A70" s="33"/>
      <c r="B70" s="33"/>
      <c r="C70" s="33"/>
      <c r="D70" s="33"/>
      <c r="E70" s="33"/>
      <c r="F70" s="33"/>
      <c r="G70" s="33"/>
      <c r="H70" s="33"/>
      <c r="I70" s="33"/>
    </row>
  </sheetData>
  <sortState xmlns:xlrd2="http://schemas.microsoft.com/office/spreadsheetml/2017/richdata2" ref="P49:P67">
    <sortCondition ref="P49"/>
  </sortState>
  <mergeCells count="6">
    <mergeCell ref="A1:B2"/>
    <mergeCell ref="D1:E2"/>
    <mergeCell ref="G1:H2"/>
    <mergeCell ref="P1:Q2"/>
    <mergeCell ref="M1:N2"/>
    <mergeCell ref="J1:K2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1"/>
  <sheetViews>
    <sheetView zoomScale="110" zoomScaleNormal="110" workbookViewId="0">
      <selection activeCell="B3" sqref="B3"/>
    </sheetView>
  </sheetViews>
  <sheetFormatPr defaultRowHeight="15" x14ac:dyDescent="0.25"/>
  <cols>
    <col min="1" max="1" width="18.5703125" customWidth="1"/>
    <col min="2" max="2" width="14.140625" customWidth="1"/>
    <col min="3" max="3" width="13.28515625" customWidth="1"/>
    <col min="5" max="5" width="9.85546875" customWidth="1"/>
    <col min="6" max="6" width="12.85546875" customWidth="1"/>
  </cols>
  <sheetData>
    <row r="1" spans="1:7" x14ac:dyDescent="0.25">
      <c r="A1" s="14"/>
      <c r="B1" s="14" t="s">
        <v>70</v>
      </c>
      <c r="C1" s="14" t="s">
        <v>75</v>
      </c>
      <c r="D1" s="14" t="s">
        <v>79</v>
      </c>
      <c r="E1" s="14" t="s">
        <v>76</v>
      </c>
      <c r="F1" s="14" t="s">
        <v>63</v>
      </c>
      <c r="G1" s="14" t="s">
        <v>65</v>
      </c>
    </row>
    <row r="2" spans="1:7" x14ac:dyDescent="0.25">
      <c r="A2" s="12" t="s">
        <v>70</v>
      </c>
      <c r="B2" s="12">
        <v>1</v>
      </c>
      <c r="C2" s="12"/>
      <c r="D2" s="12"/>
      <c r="E2" s="12"/>
      <c r="F2" s="12"/>
      <c r="G2" s="12"/>
    </row>
    <row r="3" spans="1:7" x14ac:dyDescent="0.25">
      <c r="A3" s="12" t="s">
        <v>75</v>
      </c>
      <c r="B3" s="12">
        <v>0.8120726263087289</v>
      </c>
      <c r="C3" s="12">
        <v>1</v>
      </c>
      <c r="D3" s="12"/>
      <c r="E3" s="12"/>
      <c r="F3" s="12"/>
      <c r="G3" s="12"/>
    </row>
    <row r="4" spans="1:7" x14ac:dyDescent="0.25">
      <c r="A4" s="12" t="s">
        <v>79</v>
      </c>
      <c r="B4" s="12">
        <v>0.84149560261145784</v>
      </c>
      <c r="C4" s="12">
        <v>0.75987394538010022</v>
      </c>
      <c r="D4" s="12">
        <v>1</v>
      </c>
      <c r="E4" s="12"/>
      <c r="F4" s="12"/>
      <c r="G4" s="12"/>
    </row>
    <row r="5" spans="1:7" x14ac:dyDescent="0.25">
      <c r="A5" s="12" t="s">
        <v>76</v>
      </c>
      <c r="B5" s="16">
        <v>-0.28468581161045831</v>
      </c>
      <c r="C5" s="16">
        <v>7.4056824247509284E-2</v>
      </c>
      <c r="D5" s="16">
        <v>-0.17191607232569309</v>
      </c>
      <c r="E5" s="12">
        <v>1</v>
      </c>
      <c r="F5" s="12"/>
      <c r="G5" s="12"/>
    </row>
    <row r="6" spans="1:7" x14ac:dyDescent="0.25">
      <c r="A6" s="12" t="s">
        <v>63</v>
      </c>
      <c r="B6" s="12">
        <v>0.64920558181273258</v>
      </c>
      <c r="C6" s="12">
        <v>0.51694752859917203</v>
      </c>
      <c r="D6" s="12">
        <v>0.73441893692070004</v>
      </c>
      <c r="E6" s="16">
        <v>-0.28923445098024575</v>
      </c>
      <c r="F6" s="12">
        <v>1</v>
      </c>
      <c r="G6" s="12"/>
    </row>
    <row r="7" spans="1:7" ht="15.75" thickBot="1" x14ac:dyDescent="0.3">
      <c r="A7" s="13" t="s">
        <v>65</v>
      </c>
      <c r="B7" s="13">
        <v>0.77925339070336375</v>
      </c>
      <c r="C7" s="15">
        <v>0.68187175741066242</v>
      </c>
      <c r="D7" s="13">
        <v>0.84337051329297852</v>
      </c>
      <c r="E7" s="15">
        <v>-0.23221604850733907</v>
      </c>
      <c r="F7" s="13">
        <v>0.81499124715203164</v>
      </c>
      <c r="G7" s="13">
        <v>1</v>
      </c>
    </row>
    <row r="9" spans="1:7" ht="15.75" x14ac:dyDescent="0.25">
      <c r="A9" s="1"/>
      <c r="B9" s="1" t="s">
        <v>70</v>
      </c>
      <c r="C9" s="1" t="s">
        <v>75</v>
      </c>
    </row>
    <row r="10" spans="1:7" ht="15.75" x14ac:dyDescent="0.25">
      <c r="A10" s="1" t="s">
        <v>70</v>
      </c>
      <c r="B10" s="1">
        <v>1</v>
      </c>
      <c r="C10" s="1"/>
    </row>
    <row r="11" spans="1:7" ht="15.75" x14ac:dyDescent="0.25">
      <c r="A11" s="1" t="s">
        <v>75</v>
      </c>
      <c r="B11" s="1">
        <v>0.8120726263087289</v>
      </c>
      <c r="C11" s="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345"/>
  <sheetViews>
    <sheetView zoomScaleNormal="100" workbookViewId="0">
      <selection activeCell="W88" sqref="W88"/>
    </sheetView>
  </sheetViews>
  <sheetFormatPr defaultRowHeight="15" x14ac:dyDescent="0.25"/>
  <cols>
    <col min="1" max="1" width="26.28515625" bestFit="1" customWidth="1"/>
    <col min="2" max="2" width="23.28515625" customWidth="1"/>
    <col min="3" max="3" width="27.5703125" customWidth="1"/>
    <col min="4" max="4" width="24.7109375" customWidth="1"/>
    <col min="5" max="5" width="12.5703125" bestFit="1" customWidth="1"/>
    <col min="6" max="6" width="14.85546875" bestFit="1" customWidth="1"/>
    <col min="7" max="7" width="13.140625" bestFit="1" customWidth="1"/>
    <col min="8" max="9" width="14.85546875" bestFit="1" customWidth="1"/>
    <col min="25" max="25" width="13.7109375" customWidth="1"/>
    <col min="26" max="26" width="12.85546875" customWidth="1"/>
  </cols>
  <sheetData>
    <row r="1" spans="1:9" x14ac:dyDescent="0.25">
      <c r="A1" t="s">
        <v>93</v>
      </c>
    </row>
    <row r="2" spans="1:9" ht="15.75" thickBot="1" x14ac:dyDescent="0.3"/>
    <row r="3" spans="1:9" x14ac:dyDescent="0.25">
      <c r="A3" s="17" t="s">
        <v>94</v>
      </c>
      <c r="B3" s="17"/>
    </row>
    <row r="4" spans="1:9" x14ac:dyDescent="0.25">
      <c r="A4" s="12" t="s">
        <v>95</v>
      </c>
      <c r="B4" s="12">
        <v>0.81207262630872845</v>
      </c>
    </row>
    <row r="5" spans="1:9" x14ac:dyDescent="0.25">
      <c r="A5" s="12" t="s">
        <v>96</v>
      </c>
      <c r="B5" s="12">
        <v>0.6594619503999557</v>
      </c>
    </row>
    <row r="6" spans="1:9" x14ac:dyDescent="0.25">
      <c r="A6" s="12" t="s">
        <v>97</v>
      </c>
      <c r="B6" s="12">
        <v>0.65729291823689806</v>
      </c>
    </row>
    <row r="7" spans="1:9" x14ac:dyDescent="0.25">
      <c r="A7" s="12" t="s">
        <v>81</v>
      </c>
      <c r="B7" s="12">
        <v>17.983023540284943</v>
      </c>
    </row>
    <row r="8" spans="1:9" ht="15.75" thickBot="1" x14ac:dyDescent="0.3">
      <c r="A8" s="13" t="s">
        <v>98</v>
      </c>
      <c r="B8" s="13">
        <v>159</v>
      </c>
    </row>
    <row r="10" spans="1:9" ht="15.75" thickBot="1" x14ac:dyDescent="0.3">
      <c r="A10" t="s">
        <v>99</v>
      </c>
    </row>
    <row r="11" spans="1:9" x14ac:dyDescent="0.25">
      <c r="A11" s="14"/>
      <c r="B11" s="14" t="s">
        <v>104</v>
      </c>
      <c r="C11" s="14" t="s">
        <v>105</v>
      </c>
      <c r="D11" s="14" t="s">
        <v>106</v>
      </c>
      <c r="E11" s="14" t="s">
        <v>107</v>
      </c>
      <c r="F11" s="14" t="s">
        <v>108</v>
      </c>
    </row>
    <row r="12" spans="1:9" x14ac:dyDescent="0.25">
      <c r="A12" s="12" t="s">
        <v>100</v>
      </c>
      <c r="B12" s="12">
        <v>1</v>
      </c>
      <c r="C12" s="12">
        <v>98321.654130553565</v>
      </c>
      <c r="D12" s="12">
        <v>98321.654130553565</v>
      </c>
      <c r="E12" s="44">
        <v>304.03511834989831</v>
      </c>
      <c r="F12" s="44">
        <v>1.4699668393890964E-38</v>
      </c>
      <c r="G12" s="12">
        <v>0.05</v>
      </c>
    </row>
    <row r="13" spans="1:9" x14ac:dyDescent="0.25">
      <c r="A13" s="12" t="s">
        <v>101</v>
      </c>
      <c r="B13" s="12">
        <v>157</v>
      </c>
      <c r="C13" s="12">
        <v>50772.094297119453</v>
      </c>
      <c r="D13" s="12">
        <v>323.38913565044237</v>
      </c>
      <c r="E13" s="12"/>
      <c r="F13" s="12"/>
    </row>
    <row r="14" spans="1:9" ht="15.75" thickBot="1" x14ac:dyDescent="0.3">
      <c r="A14" s="13" t="s">
        <v>102</v>
      </c>
      <c r="B14" s="13">
        <v>158</v>
      </c>
      <c r="C14" s="13">
        <v>149093.74842767301</v>
      </c>
      <c r="D14" s="13"/>
      <c r="E14" s="13"/>
      <c r="F14" s="13"/>
    </row>
    <row r="15" spans="1:9" ht="15.75" thickBot="1" x14ac:dyDescent="0.3"/>
    <row r="16" spans="1:9" x14ac:dyDescent="0.25">
      <c r="A16" s="14"/>
      <c r="B16" s="14" t="s">
        <v>109</v>
      </c>
      <c r="C16" s="14" t="s">
        <v>81</v>
      </c>
      <c r="D16" s="14" t="s">
        <v>110</v>
      </c>
      <c r="E16" s="14" t="s">
        <v>111</v>
      </c>
      <c r="F16" s="14" t="s">
        <v>112</v>
      </c>
      <c r="G16" s="14" t="s">
        <v>113</v>
      </c>
      <c r="H16" s="14" t="s">
        <v>114</v>
      </c>
      <c r="I16" s="14" t="s">
        <v>115</v>
      </c>
    </row>
    <row r="17" spans="1:9" x14ac:dyDescent="0.25">
      <c r="A17" s="12" t="s">
        <v>103</v>
      </c>
      <c r="B17" s="12">
        <v>-1.8034274066404947</v>
      </c>
      <c r="C17" s="12">
        <v>5.7784632143891201</v>
      </c>
      <c r="D17" s="12">
        <v>-0.31209464172926243</v>
      </c>
      <c r="E17" s="12">
        <v>0.75538269976853301</v>
      </c>
      <c r="F17" s="12">
        <v>-13.216985326938637</v>
      </c>
      <c r="G17" s="12">
        <v>9.6101305136576478</v>
      </c>
      <c r="H17" s="12">
        <v>-13.216985326938637</v>
      </c>
      <c r="I17" s="12">
        <v>9.6101305136576478</v>
      </c>
    </row>
    <row r="18" spans="1:9" ht="15.75" thickBot="1" x14ac:dyDescent="0.3">
      <c r="A18" s="13" t="s">
        <v>70</v>
      </c>
      <c r="B18" s="13">
        <v>0.81894524226701693</v>
      </c>
      <c r="C18" s="13">
        <v>4.6967018181146604E-2</v>
      </c>
      <c r="D18" s="13">
        <v>17.436602832831234</v>
      </c>
      <c r="E18" s="13">
        <v>1.4699668393891172E-38</v>
      </c>
      <c r="F18" s="13">
        <v>0.72617649693359465</v>
      </c>
      <c r="G18" s="13">
        <v>0.9117139876004392</v>
      </c>
      <c r="H18" s="13">
        <v>0.72617649693359465</v>
      </c>
      <c r="I18" s="13">
        <v>0.9117139876004392</v>
      </c>
    </row>
    <row r="22" spans="1:9" x14ac:dyDescent="0.25">
      <c r="A22" t="s">
        <v>116</v>
      </c>
      <c r="F22" t="s">
        <v>121</v>
      </c>
    </row>
    <row r="23" spans="1:9" ht="15.75" thickBot="1" x14ac:dyDescent="0.3"/>
    <row r="24" spans="1:9" x14ac:dyDescent="0.25">
      <c r="A24" s="14" t="s">
        <v>117</v>
      </c>
      <c r="B24" s="14" t="s">
        <v>118</v>
      </c>
      <c r="C24" s="14" t="s">
        <v>119</v>
      </c>
      <c r="D24" s="14" t="s">
        <v>120</v>
      </c>
      <c r="F24" s="14" t="s">
        <v>122</v>
      </c>
      <c r="G24" s="14" t="s">
        <v>75</v>
      </c>
    </row>
    <row r="25" spans="1:9" x14ac:dyDescent="0.25">
      <c r="A25" s="12">
        <v>1</v>
      </c>
      <c r="B25" s="12">
        <v>189.82975928384144</v>
      </c>
      <c r="C25" s="12">
        <v>-34.82975928384144</v>
      </c>
      <c r="D25" s="12">
        <v>-1.9429717109281099</v>
      </c>
      <c r="F25" s="12">
        <v>0.31446540880503143</v>
      </c>
      <c r="G25" s="12">
        <v>48</v>
      </c>
    </row>
    <row r="26" spans="1:9" x14ac:dyDescent="0.25">
      <c r="A26" s="12">
        <v>2</v>
      </c>
      <c r="B26" s="12">
        <v>209.48444509824986</v>
      </c>
      <c r="C26" s="12">
        <v>-33.484445098249864</v>
      </c>
      <c r="D26" s="12">
        <v>-1.8679236067016936</v>
      </c>
      <c r="F26" s="12">
        <v>0.94339622641509435</v>
      </c>
      <c r="G26" s="12">
        <v>52</v>
      </c>
    </row>
    <row r="27" spans="1:9" x14ac:dyDescent="0.25">
      <c r="A27" s="12">
        <v>3</v>
      </c>
      <c r="B27" s="12">
        <v>148.0635519282236</v>
      </c>
      <c r="C27" s="12">
        <v>-25.063551928223603</v>
      </c>
      <c r="D27" s="12">
        <v>-1.3981656311506145</v>
      </c>
      <c r="F27" s="12">
        <v>1.5723270440251571</v>
      </c>
      <c r="G27" s="12">
        <v>52</v>
      </c>
    </row>
    <row r="28" spans="1:9" x14ac:dyDescent="0.25">
      <c r="A28" s="12">
        <v>4</v>
      </c>
      <c r="B28" s="12">
        <v>148.0635519282236</v>
      </c>
      <c r="C28" s="12">
        <v>-25.063551928223603</v>
      </c>
      <c r="D28" s="12">
        <v>-1.3981656311506145</v>
      </c>
      <c r="F28" s="12">
        <v>2.2012578616352201</v>
      </c>
      <c r="G28" s="12">
        <v>55</v>
      </c>
    </row>
    <row r="29" spans="1:9" x14ac:dyDescent="0.25">
      <c r="A29" s="12">
        <v>5</v>
      </c>
      <c r="B29" s="12">
        <v>148.0635519282236</v>
      </c>
      <c r="C29" s="12">
        <v>-25.063551928223603</v>
      </c>
      <c r="D29" s="12">
        <v>-1.3981656311506145</v>
      </c>
      <c r="F29" s="12">
        <v>2.8301886792452828</v>
      </c>
      <c r="G29" s="12">
        <v>56</v>
      </c>
    </row>
    <row r="30" spans="1:9" x14ac:dyDescent="0.25">
      <c r="A30" s="12">
        <v>6</v>
      </c>
      <c r="B30" s="12">
        <v>148.0635519282236</v>
      </c>
      <c r="C30" s="12">
        <v>-25.063551928223603</v>
      </c>
      <c r="D30" s="12">
        <v>-1.3981656311506145</v>
      </c>
      <c r="F30" s="12">
        <v>3.4591194968553456</v>
      </c>
      <c r="G30" s="12">
        <v>56</v>
      </c>
    </row>
    <row r="31" spans="1:9" x14ac:dyDescent="0.25">
      <c r="A31" s="12">
        <v>7</v>
      </c>
      <c r="B31" s="12">
        <v>105.47839933033872</v>
      </c>
      <c r="C31" s="12">
        <v>34.521600669661282</v>
      </c>
      <c r="D31" s="12">
        <v>1.9257811393553506</v>
      </c>
      <c r="F31" s="12">
        <v>4.0880503144654092</v>
      </c>
      <c r="G31" s="12">
        <v>58</v>
      </c>
    </row>
    <row r="32" spans="1:9" x14ac:dyDescent="0.25">
      <c r="A32" s="12">
        <v>8</v>
      </c>
      <c r="B32" s="12">
        <v>113.66785175300889</v>
      </c>
      <c r="C32" s="12">
        <v>0.33214824699111034</v>
      </c>
      <c r="D32" s="12">
        <v>1.8528828823617203E-2</v>
      </c>
      <c r="F32" s="12">
        <v>4.716981132075472</v>
      </c>
      <c r="G32" s="12">
        <v>60</v>
      </c>
    </row>
    <row r="33" spans="1:26" x14ac:dyDescent="0.25">
      <c r="A33" s="12">
        <v>9</v>
      </c>
      <c r="B33" s="12">
        <v>116.94363272207696</v>
      </c>
      <c r="C33" s="12">
        <v>-10.943632722076956</v>
      </c>
      <c r="D33" s="12">
        <v>-0.61048853713000906</v>
      </c>
      <c r="F33" s="12">
        <v>5.3459119496855347</v>
      </c>
      <c r="G33" s="12">
        <v>62</v>
      </c>
    </row>
    <row r="34" spans="1:26" x14ac:dyDescent="0.25">
      <c r="A34" s="12">
        <v>10</v>
      </c>
      <c r="B34" s="12">
        <v>121.85730417567906</v>
      </c>
      <c r="C34" s="12">
        <v>21.142695824320938</v>
      </c>
      <c r="D34" s="12">
        <v>1.1794413950621683</v>
      </c>
      <c r="F34" s="12">
        <v>5.9748427672955975</v>
      </c>
      <c r="G34" s="12">
        <v>62</v>
      </c>
    </row>
    <row r="35" spans="1:26" x14ac:dyDescent="0.25">
      <c r="A35" s="12">
        <v>11</v>
      </c>
      <c r="B35" s="12">
        <v>139.87409950555343</v>
      </c>
      <c r="C35" s="12">
        <v>-5.8740995055534313</v>
      </c>
      <c r="D35" s="12">
        <v>-0.32768555973804969</v>
      </c>
      <c r="F35" s="12">
        <v>6.6037735849056602</v>
      </c>
      <c r="G35" s="12">
        <v>62</v>
      </c>
    </row>
    <row r="36" spans="1:26" x14ac:dyDescent="0.25">
      <c r="A36" s="12">
        <v>12</v>
      </c>
      <c r="B36" s="12">
        <v>132.50359232515029</v>
      </c>
      <c r="C36" s="12">
        <v>-11.503592325150294</v>
      </c>
      <c r="D36" s="12">
        <v>-0.64172578052200624</v>
      </c>
      <c r="F36" s="12">
        <v>7.232704402515723</v>
      </c>
      <c r="G36" s="12">
        <v>62</v>
      </c>
    </row>
    <row r="37" spans="1:26" x14ac:dyDescent="0.25">
      <c r="A37" s="12">
        <v>13</v>
      </c>
      <c r="B37" s="12">
        <v>132.50359232515029</v>
      </c>
      <c r="C37" s="12">
        <v>-11.503592325150294</v>
      </c>
      <c r="D37" s="12">
        <v>-0.64172578052200624</v>
      </c>
      <c r="F37" s="12">
        <v>7.8616352201257866</v>
      </c>
      <c r="G37" s="12">
        <v>62</v>
      </c>
    </row>
    <row r="38" spans="1:26" x14ac:dyDescent="0.25">
      <c r="A38" s="12">
        <v>14</v>
      </c>
      <c r="B38" s="12">
        <v>146.42566144368959</v>
      </c>
      <c r="C38" s="12">
        <v>53.574338556310408</v>
      </c>
      <c r="D38" s="12">
        <v>2.9886346155394841</v>
      </c>
      <c r="F38" s="12">
        <v>8.4905660377358476</v>
      </c>
      <c r="G38" s="12">
        <v>62</v>
      </c>
    </row>
    <row r="39" spans="1:26" x14ac:dyDescent="0.25">
      <c r="A39" s="12">
        <v>15</v>
      </c>
      <c r="B39" s="12">
        <v>113.66785175300889</v>
      </c>
      <c r="C39" s="12">
        <v>46.33214824699111</v>
      </c>
      <c r="D39" s="12">
        <v>2.5846303621224007</v>
      </c>
      <c r="F39" s="12">
        <v>9.1194968553459113</v>
      </c>
      <c r="G39" s="12">
        <v>68</v>
      </c>
    </row>
    <row r="40" spans="1:26" x14ac:dyDescent="0.25">
      <c r="A40" s="12">
        <v>16</v>
      </c>
      <c r="B40" s="12">
        <v>104.65945408807171</v>
      </c>
      <c r="C40" s="12">
        <v>57.340545911928288</v>
      </c>
      <c r="D40" s="12">
        <v>3.1987317996693143</v>
      </c>
      <c r="F40" s="12">
        <v>9.7484276729559731</v>
      </c>
      <c r="G40" s="12">
        <v>68</v>
      </c>
    </row>
    <row r="41" spans="1:26" x14ac:dyDescent="0.25">
      <c r="A41" s="12">
        <v>17</v>
      </c>
      <c r="B41" s="12">
        <v>97.28894690766856</v>
      </c>
      <c r="C41" s="12">
        <v>62.71105309233144</v>
      </c>
      <c r="D41" s="12">
        <v>3.4983245542394155</v>
      </c>
      <c r="F41" s="12">
        <v>10.377358490566037</v>
      </c>
      <c r="G41" s="12">
        <v>68</v>
      </c>
    </row>
    <row r="42" spans="1:26" x14ac:dyDescent="0.25">
      <c r="A42" s="12">
        <v>18</v>
      </c>
      <c r="B42" s="12">
        <v>104.65945408807171</v>
      </c>
      <c r="C42" s="12">
        <v>57.340545911928288</v>
      </c>
      <c r="D42" s="12">
        <v>3.1987317996693143</v>
      </c>
      <c r="F42" s="12">
        <v>11.0062893081761</v>
      </c>
      <c r="G42" s="12">
        <v>68</v>
      </c>
    </row>
    <row r="43" spans="1:26" x14ac:dyDescent="0.25">
      <c r="A43" s="12">
        <v>19</v>
      </c>
      <c r="B43" s="12">
        <v>146.42566144368959</v>
      </c>
      <c r="C43" s="12">
        <v>13.574338556310408</v>
      </c>
      <c r="D43" s="12">
        <v>0.75724197788836811</v>
      </c>
      <c r="F43" s="12">
        <v>11.635220125786162</v>
      </c>
      <c r="G43" s="12">
        <v>68</v>
      </c>
      <c r="Y43" s="43" t="s">
        <v>70</v>
      </c>
      <c r="Z43" s="43" t="s">
        <v>75</v>
      </c>
    </row>
    <row r="44" spans="1:26" x14ac:dyDescent="0.25">
      <c r="A44" s="12">
        <v>20</v>
      </c>
      <c r="B44" s="12">
        <v>112.84890651074187</v>
      </c>
      <c r="C44" s="12">
        <v>7.1510934892581304</v>
      </c>
      <c r="D44" s="12">
        <v>0.39892243407713557</v>
      </c>
      <c r="F44" s="12">
        <v>12.264150943396226</v>
      </c>
      <c r="G44" s="12">
        <v>68</v>
      </c>
      <c r="Y44" s="43">
        <v>234</v>
      </c>
      <c r="Z44" s="43">
        <v>155</v>
      </c>
    </row>
    <row r="45" spans="1:26" x14ac:dyDescent="0.25">
      <c r="A45" s="12">
        <v>21</v>
      </c>
      <c r="B45" s="12">
        <v>107.93523505713978</v>
      </c>
      <c r="C45" s="12">
        <v>34.064764942860222</v>
      </c>
      <c r="D45" s="12">
        <v>1.9002966424203533</v>
      </c>
      <c r="F45" s="12">
        <v>12.893081761006288</v>
      </c>
      <c r="G45" s="12">
        <v>68</v>
      </c>
      <c r="Y45" s="43">
        <v>258</v>
      </c>
      <c r="Z45" s="43">
        <v>176</v>
      </c>
    </row>
    <row r="46" spans="1:26" x14ac:dyDescent="0.25">
      <c r="A46" s="12">
        <v>22</v>
      </c>
      <c r="B46" s="12">
        <v>97.28894690766856</v>
      </c>
      <c r="C46" s="12">
        <v>62.71105309233144</v>
      </c>
      <c r="D46" s="12">
        <v>3.4983245542394155</v>
      </c>
      <c r="F46" s="12">
        <v>13.522012578616351</v>
      </c>
      <c r="G46" s="12">
        <v>68</v>
      </c>
      <c r="Y46" s="43">
        <v>183</v>
      </c>
      <c r="Z46" s="43">
        <v>123</v>
      </c>
    </row>
    <row r="47" spans="1:26" x14ac:dyDescent="0.25">
      <c r="A47" s="12">
        <v>23</v>
      </c>
      <c r="B47" s="12">
        <v>122.67624941794608</v>
      </c>
      <c r="C47" s="12">
        <v>-27.676249417946082</v>
      </c>
      <c r="D47" s="12">
        <v>-1.5439144797250217</v>
      </c>
      <c r="F47" s="12">
        <v>14.150943396226413</v>
      </c>
      <c r="G47" s="12">
        <v>68</v>
      </c>
      <c r="Y47" s="43">
        <v>183</v>
      </c>
      <c r="Z47" s="43">
        <v>123</v>
      </c>
    </row>
    <row r="48" spans="1:26" x14ac:dyDescent="0.25">
      <c r="A48" s="12">
        <v>24</v>
      </c>
      <c r="B48" s="12">
        <v>109.5731255416738</v>
      </c>
      <c r="C48" s="12">
        <v>0.4268744583261963</v>
      </c>
      <c r="D48" s="12">
        <v>2.3813113087759564E-2</v>
      </c>
      <c r="F48" s="12">
        <v>14.779874213836477</v>
      </c>
      <c r="G48" s="12">
        <v>68</v>
      </c>
      <c r="Y48" s="43">
        <v>183</v>
      </c>
      <c r="Z48" s="43">
        <v>123</v>
      </c>
    </row>
    <row r="49" spans="1:26" x14ac:dyDescent="0.25">
      <c r="A49" s="12">
        <v>25</v>
      </c>
      <c r="B49" s="12">
        <v>117.76257796434398</v>
      </c>
      <c r="C49" s="12">
        <v>-1.7625779643439756</v>
      </c>
      <c r="D49" s="12">
        <v>-9.8325087323080956E-2</v>
      </c>
      <c r="F49" s="12">
        <v>15.408805031446541</v>
      </c>
      <c r="G49" s="12">
        <v>68</v>
      </c>
      <c r="Y49" s="43">
        <v>183</v>
      </c>
      <c r="Z49" s="43">
        <v>123</v>
      </c>
    </row>
    <row r="50" spans="1:26" x14ac:dyDescent="0.25">
      <c r="A50" s="12">
        <v>26</v>
      </c>
      <c r="B50" s="12">
        <v>109.5731255416738</v>
      </c>
      <c r="C50" s="12">
        <v>5.4268744583261963</v>
      </c>
      <c r="D50" s="12">
        <v>0.30273719279414907</v>
      </c>
      <c r="F50" s="12">
        <v>16.037735849056602</v>
      </c>
      <c r="G50" s="12">
        <v>68</v>
      </c>
      <c r="Y50" s="43">
        <v>131</v>
      </c>
      <c r="Z50" s="43">
        <v>140</v>
      </c>
    </row>
    <row r="51" spans="1:26" x14ac:dyDescent="0.25">
      <c r="A51" s="12">
        <v>27</v>
      </c>
      <c r="B51" s="12">
        <v>146.42566144368959</v>
      </c>
      <c r="C51" s="12">
        <v>13.574338556310408</v>
      </c>
      <c r="D51" s="12">
        <v>0.75724197788836811</v>
      </c>
      <c r="F51" s="12">
        <v>16.666666666666664</v>
      </c>
      <c r="G51" s="12">
        <v>68</v>
      </c>
      <c r="Y51" s="43">
        <v>141</v>
      </c>
      <c r="Z51" s="43">
        <v>114</v>
      </c>
    </row>
    <row r="52" spans="1:26" x14ac:dyDescent="0.25">
      <c r="A52" s="12">
        <v>28</v>
      </c>
      <c r="B52" s="12">
        <v>86.642658758197328</v>
      </c>
      <c r="C52" s="12">
        <v>14.357341241802672</v>
      </c>
      <c r="D52" s="12">
        <v>0.80092163858008036</v>
      </c>
      <c r="F52" s="12">
        <v>17.29559748427673</v>
      </c>
      <c r="G52" s="12">
        <v>68</v>
      </c>
      <c r="Y52" s="43">
        <v>145</v>
      </c>
      <c r="Z52" s="43">
        <v>106</v>
      </c>
    </row>
    <row r="53" spans="1:26" x14ac:dyDescent="0.25">
      <c r="A53" s="12">
        <v>29</v>
      </c>
      <c r="B53" s="12">
        <v>122.67624941794608</v>
      </c>
      <c r="C53" s="12">
        <v>-27.676249417946082</v>
      </c>
      <c r="D53" s="12">
        <v>-1.5439144797250217</v>
      </c>
      <c r="F53" s="12">
        <v>17.924528301886792</v>
      </c>
      <c r="G53" s="12">
        <v>68</v>
      </c>
      <c r="Y53" s="43">
        <v>151</v>
      </c>
      <c r="Z53" s="43">
        <v>143</v>
      </c>
    </row>
    <row r="54" spans="1:26" x14ac:dyDescent="0.25">
      <c r="A54" s="12">
        <v>30</v>
      </c>
      <c r="B54" s="12">
        <v>113.66785175300889</v>
      </c>
      <c r="C54" s="12">
        <v>0.33214824699111034</v>
      </c>
      <c r="D54" s="12">
        <v>1.8528828823617203E-2</v>
      </c>
      <c r="F54" s="12">
        <v>18.553459119496853</v>
      </c>
      <c r="G54" s="12">
        <v>68</v>
      </c>
      <c r="Y54" s="43">
        <v>173</v>
      </c>
      <c r="Z54" s="43">
        <v>134</v>
      </c>
    </row>
    <row r="55" spans="1:26" x14ac:dyDescent="0.25">
      <c r="A55" s="12">
        <v>31</v>
      </c>
      <c r="B55" s="12">
        <v>96.47000166540154</v>
      </c>
      <c r="C55" s="12">
        <v>0.52999833459846002</v>
      </c>
      <c r="D55" s="12">
        <v>2.9565859544758911E-2</v>
      </c>
      <c r="F55" s="12">
        <v>19.182389937106915</v>
      </c>
      <c r="G55" s="12">
        <v>68</v>
      </c>
      <c r="Y55" s="43">
        <v>164</v>
      </c>
      <c r="Z55" s="43">
        <v>121</v>
      </c>
    </row>
    <row r="56" spans="1:26" x14ac:dyDescent="0.25">
      <c r="A56" s="12">
        <v>32</v>
      </c>
      <c r="B56" s="12">
        <v>138.23620902101942</v>
      </c>
      <c r="C56" s="12">
        <v>22.76379097898058</v>
      </c>
      <c r="D56" s="12">
        <v>1.2698738898881539</v>
      </c>
      <c r="F56" s="12">
        <v>19.811320754716981</v>
      </c>
      <c r="G56" s="12">
        <v>68</v>
      </c>
      <c r="Y56" s="43">
        <v>164</v>
      </c>
      <c r="Z56" s="43">
        <v>121</v>
      </c>
    </row>
    <row r="57" spans="1:26" x14ac:dyDescent="0.25">
      <c r="A57" s="12">
        <v>33</v>
      </c>
      <c r="B57" s="12">
        <v>113.66785175300889</v>
      </c>
      <c r="C57" s="12">
        <v>0.33214824699111034</v>
      </c>
      <c r="D57" s="12">
        <v>1.8528828823617203E-2</v>
      </c>
      <c r="F57" s="12">
        <v>20.440251572327043</v>
      </c>
      <c r="G57" s="12">
        <v>69</v>
      </c>
      <c r="Y57" s="43">
        <v>181</v>
      </c>
      <c r="Z57" s="43">
        <v>200</v>
      </c>
    </row>
    <row r="58" spans="1:26" x14ac:dyDescent="0.25">
      <c r="A58" s="12">
        <v>34</v>
      </c>
      <c r="B58" s="12">
        <v>86.642658758197328</v>
      </c>
      <c r="C58" s="12">
        <v>14.357341241802672</v>
      </c>
      <c r="D58" s="12">
        <v>0.80092163858008036</v>
      </c>
      <c r="F58" s="12">
        <v>21.069182389937104</v>
      </c>
      <c r="G58" s="12">
        <v>69</v>
      </c>
      <c r="Y58" s="43">
        <v>141</v>
      </c>
      <c r="Z58" s="43">
        <v>160</v>
      </c>
    </row>
    <row r="59" spans="1:26" x14ac:dyDescent="0.25">
      <c r="A59" s="12">
        <v>35</v>
      </c>
      <c r="B59" s="12">
        <v>138.23620902101942</v>
      </c>
      <c r="C59" s="12">
        <v>22.76379097898058</v>
      </c>
      <c r="D59" s="12">
        <v>1.2698738898881539</v>
      </c>
      <c r="F59" s="12">
        <v>21.69811320754717</v>
      </c>
      <c r="G59" s="12">
        <v>69</v>
      </c>
      <c r="Y59" s="43">
        <v>130</v>
      </c>
      <c r="Z59" s="43">
        <v>162</v>
      </c>
    </row>
    <row r="60" spans="1:26" x14ac:dyDescent="0.25">
      <c r="A60" s="12">
        <v>36</v>
      </c>
      <c r="B60" s="12">
        <v>113.66785175300889</v>
      </c>
      <c r="C60" s="12">
        <v>0.33214824699111034</v>
      </c>
      <c r="D60" s="12">
        <v>1.8528828823617203E-2</v>
      </c>
      <c r="F60" s="12">
        <v>22.327044025157232</v>
      </c>
      <c r="G60" s="12">
        <v>69</v>
      </c>
      <c r="Y60" s="43">
        <v>121</v>
      </c>
      <c r="Z60" s="43">
        <v>160</v>
      </c>
    </row>
    <row r="61" spans="1:26" x14ac:dyDescent="0.25">
      <c r="A61" s="12">
        <v>37</v>
      </c>
      <c r="B61" s="12">
        <v>138.23620902101942</v>
      </c>
      <c r="C61" s="12">
        <v>17.76379097898058</v>
      </c>
      <c r="D61" s="12">
        <v>0.99094981018176442</v>
      </c>
      <c r="F61" s="12">
        <v>22.955974842767294</v>
      </c>
      <c r="G61" s="12">
        <v>69</v>
      </c>
      <c r="Y61" s="43">
        <v>130</v>
      </c>
      <c r="Z61" s="43">
        <v>162</v>
      </c>
    </row>
    <row r="62" spans="1:26" x14ac:dyDescent="0.25">
      <c r="A62" s="12">
        <v>38</v>
      </c>
      <c r="B62" s="12">
        <v>96.47000166540154</v>
      </c>
      <c r="C62" s="12">
        <v>-1.47000166540154</v>
      </c>
      <c r="D62" s="12">
        <v>-8.200377233779689E-2</v>
      </c>
      <c r="F62" s="12">
        <v>23.584905660377355</v>
      </c>
      <c r="G62" s="12">
        <v>69</v>
      </c>
      <c r="Y62" s="43">
        <v>181</v>
      </c>
      <c r="Z62" s="43">
        <v>160</v>
      </c>
    </row>
    <row r="63" spans="1:26" x14ac:dyDescent="0.25">
      <c r="A63" s="12">
        <v>39</v>
      </c>
      <c r="B63" s="12">
        <v>97.28894690766856</v>
      </c>
      <c r="C63" s="12">
        <v>12.71105309233144</v>
      </c>
      <c r="D63" s="12">
        <v>0.70908375717552063</v>
      </c>
      <c r="F63" s="12">
        <v>24.213836477987421</v>
      </c>
      <c r="G63" s="12">
        <v>69</v>
      </c>
      <c r="Y63" s="43">
        <v>140</v>
      </c>
      <c r="Z63" s="43">
        <v>120</v>
      </c>
    </row>
    <row r="64" spans="1:26" x14ac:dyDescent="0.25">
      <c r="A64" s="12">
        <v>40</v>
      </c>
      <c r="B64" s="12">
        <v>97.28894690766856</v>
      </c>
      <c r="C64" s="12">
        <v>12.71105309233144</v>
      </c>
      <c r="D64" s="12">
        <v>0.70908375717552063</v>
      </c>
      <c r="F64" s="12">
        <v>24.842767295597483</v>
      </c>
      <c r="G64" s="12">
        <v>69</v>
      </c>
      <c r="Y64" s="43">
        <v>134</v>
      </c>
      <c r="Z64" s="43">
        <v>142</v>
      </c>
    </row>
    <row r="65" spans="1:26" x14ac:dyDescent="0.25">
      <c r="A65" s="12">
        <v>41</v>
      </c>
      <c r="B65" s="12">
        <v>146.42566144368959</v>
      </c>
      <c r="C65" s="12">
        <v>5.5743385563104084</v>
      </c>
      <c r="D65" s="12">
        <v>0.31096345035814488</v>
      </c>
      <c r="F65" s="12">
        <v>25.471698113207545</v>
      </c>
      <c r="G65" s="12">
        <v>69</v>
      </c>
      <c r="Y65" s="43">
        <v>121</v>
      </c>
      <c r="Z65" s="43">
        <v>160</v>
      </c>
    </row>
    <row r="66" spans="1:26" x14ac:dyDescent="0.25">
      <c r="A66" s="12">
        <v>42</v>
      </c>
      <c r="B66" s="12">
        <v>87.461604000464348</v>
      </c>
      <c r="C66" s="12">
        <v>14.538395999535652</v>
      </c>
      <c r="D66" s="12">
        <v>0.81102174491550727</v>
      </c>
      <c r="F66" s="12">
        <v>26.10062893081761</v>
      </c>
      <c r="G66" s="12">
        <v>69</v>
      </c>
      <c r="Y66" s="43">
        <v>152</v>
      </c>
      <c r="Z66" s="43">
        <v>95</v>
      </c>
    </row>
    <row r="67" spans="1:26" x14ac:dyDescent="0.25">
      <c r="A67" s="12">
        <v>43</v>
      </c>
      <c r="B67" s="12">
        <v>146.42566144368959</v>
      </c>
      <c r="C67" s="12">
        <v>5.5743385563104084</v>
      </c>
      <c r="D67" s="12">
        <v>0.31096345035814488</v>
      </c>
      <c r="F67" s="12">
        <v>26.729559748427672</v>
      </c>
      <c r="G67" s="12">
        <v>70</v>
      </c>
      <c r="Y67" s="43">
        <v>136</v>
      </c>
      <c r="Z67" s="43">
        <v>110</v>
      </c>
    </row>
    <row r="68" spans="1:26" x14ac:dyDescent="0.25">
      <c r="A68" s="12">
        <v>44</v>
      </c>
      <c r="B68" s="12">
        <v>146.42566144368959</v>
      </c>
      <c r="C68" s="12">
        <v>5.5743385563104084</v>
      </c>
      <c r="D68" s="12">
        <v>0.31096345035814488</v>
      </c>
      <c r="F68" s="12">
        <v>27.358490566037734</v>
      </c>
      <c r="G68" s="12">
        <v>70</v>
      </c>
      <c r="Y68" s="43">
        <v>146</v>
      </c>
      <c r="Z68" s="43">
        <v>116</v>
      </c>
    </row>
    <row r="69" spans="1:26" x14ac:dyDescent="0.25">
      <c r="A69" s="12">
        <v>45</v>
      </c>
      <c r="B69" s="12">
        <v>113.66785175300889</v>
      </c>
      <c r="C69" s="12">
        <v>0.33214824699111034</v>
      </c>
      <c r="D69" s="12">
        <v>1.8528828823617203E-2</v>
      </c>
      <c r="F69" s="12">
        <v>27.987421383647796</v>
      </c>
      <c r="G69" s="12">
        <v>70</v>
      </c>
      <c r="Y69" s="43">
        <v>136</v>
      </c>
      <c r="Z69" s="43">
        <v>115</v>
      </c>
    </row>
    <row r="70" spans="1:26" x14ac:dyDescent="0.25">
      <c r="A70" s="12">
        <v>46</v>
      </c>
      <c r="B70" s="12">
        <v>122.67624941794608</v>
      </c>
      <c r="C70" s="12">
        <v>-27.676249417946082</v>
      </c>
      <c r="D70" s="12">
        <v>-1.5439144797250217</v>
      </c>
      <c r="F70" s="12">
        <v>28.616352201257861</v>
      </c>
      <c r="G70" s="12">
        <v>70</v>
      </c>
      <c r="Y70" s="43">
        <v>181</v>
      </c>
      <c r="Z70" s="43">
        <v>160</v>
      </c>
    </row>
    <row r="71" spans="1:26" x14ac:dyDescent="0.25">
      <c r="A71" s="12">
        <v>47</v>
      </c>
      <c r="B71" s="12">
        <v>125.95203038701415</v>
      </c>
      <c r="C71" s="12">
        <v>19.047969612985852</v>
      </c>
      <c r="D71" s="12">
        <v>1.0625874789154701</v>
      </c>
      <c r="F71" s="12">
        <v>29.245283018867923</v>
      </c>
      <c r="G71" s="12">
        <v>70</v>
      </c>
      <c r="Y71" s="43">
        <v>108</v>
      </c>
      <c r="Z71" s="43">
        <v>101</v>
      </c>
    </row>
    <row r="72" spans="1:26" x14ac:dyDescent="0.25">
      <c r="A72" s="12">
        <v>48</v>
      </c>
      <c r="B72" s="12">
        <v>88.280549242731368</v>
      </c>
      <c r="C72" s="12">
        <v>12.719450757268632</v>
      </c>
      <c r="D72" s="12">
        <v>0.70955221936837842</v>
      </c>
      <c r="F72" s="12">
        <v>29.874213836477985</v>
      </c>
      <c r="G72" s="12">
        <v>70</v>
      </c>
      <c r="Y72" s="43">
        <v>152</v>
      </c>
      <c r="Z72" s="43">
        <v>95</v>
      </c>
    </row>
    <row r="73" spans="1:26" x14ac:dyDescent="0.25">
      <c r="A73" s="12">
        <v>49</v>
      </c>
      <c r="B73" s="12">
        <v>113.66785175300889</v>
      </c>
      <c r="C73" s="12">
        <v>0.33214824699111034</v>
      </c>
      <c r="D73" s="12">
        <v>1.8528828823617203E-2</v>
      </c>
      <c r="F73" s="12">
        <v>30.50314465408805</v>
      </c>
      <c r="G73" s="12">
        <v>70</v>
      </c>
      <c r="Y73" s="43">
        <v>141</v>
      </c>
      <c r="Z73" s="43">
        <v>114</v>
      </c>
    </row>
    <row r="74" spans="1:26" x14ac:dyDescent="0.25">
      <c r="A74" s="12">
        <v>50</v>
      </c>
      <c r="B74" s="12">
        <v>97.28894690766856</v>
      </c>
      <c r="C74" s="12">
        <v>12.71105309233144</v>
      </c>
      <c r="D74" s="12">
        <v>0.70908375717552063</v>
      </c>
      <c r="F74" s="12">
        <v>31.132075471698112</v>
      </c>
      <c r="G74" s="12">
        <v>70</v>
      </c>
      <c r="Y74" s="43">
        <v>120</v>
      </c>
      <c r="Z74" s="43">
        <v>97</v>
      </c>
    </row>
    <row r="75" spans="1:26" x14ac:dyDescent="0.25">
      <c r="A75" s="12">
        <v>51</v>
      </c>
      <c r="B75" s="12">
        <v>96.47000166540154</v>
      </c>
      <c r="C75" s="12">
        <v>0.52999833459846002</v>
      </c>
      <c r="D75" s="12">
        <v>2.9565859544758911E-2</v>
      </c>
      <c r="F75" s="12">
        <v>31.761006289308174</v>
      </c>
      <c r="G75" s="12">
        <v>70</v>
      </c>
      <c r="Y75" s="43">
        <v>171</v>
      </c>
      <c r="Z75" s="43">
        <v>161</v>
      </c>
    </row>
    <row r="76" spans="1:26" x14ac:dyDescent="0.25">
      <c r="A76" s="12">
        <v>52</v>
      </c>
      <c r="B76" s="12">
        <v>97.28894690766856</v>
      </c>
      <c r="C76" s="12">
        <v>12.71105309233144</v>
      </c>
      <c r="D76" s="12">
        <v>0.70908375717552063</v>
      </c>
      <c r="F76" s="12">
        <v>32.389937106918239</v>
      </c>
      <c r="G76" s="12">
        <v>73</v>
      </c>
      <c r="Y76" s="43">
        <v>141</v>
      </c>
      <c r="Z76" s="43">
        <v>114</v>
      </c>
    </row>
    <row r="77" spans="1:26" x14ac:dyDescent="0.25">
      <c r="A77" s="12">
        <v>53</v>
      </c>
      <c r="B77" s="12">
        <v>86.642658758197328</v>
      </c>
      <c r="C77" s="12">
        <v>24.357341241802672</v>
      </c>
      <c r="D77" s="12">
        <v>1.3587697979928592</v>
      </c>
      <c r="F77" s="12">
        <v>33.018867924528301</v>
      </c>
      <c r="G77" s="12">
        <v>73</v>
      </c>
      <c r="Y77" s="43">
        <v>108</v>
      </c>
      <c r="Z77" s="43">
        <v>101</v>
      </c>
    </row>
    <row r="78" spans="1:26" x14ac:dyDescent="0.25">
      <c r="A78" s="12">
        <v>54</v>
      </c>
      <c r="B78" s="12">
        <v>117.76257796434398</v>
      </c>
      <c r="C78" s="12">
        <v>-1.7625779643439756</v>
      </c>
      <c r="D78" s="12">
        <v>-9.8325087323080956E-2</v>
      </c>
      <c r="F78" s="12">
        <v>33.647798742138363</v>
      </c>
      <c r="G78" s="12">
        <v>73</v>
      </c>
      <c r="Y78" s="43">
        <v>171</v>
      </c>
      <c r="Z78" s="43">
        <v>161</v>
      </c>
    </row>
    <row r="79" spans="1:26" x14ac:dyDescent="0.25">
      <c r="A79" s="12">
        <v>55</v>
      </c>
      <c r="B79" s="12">
        <v>86.642658758197328</v>
      </c>
      <c r="C79" s="12">
        <v>24.357341241802672</v>
      </c>
      <c r="D79" s="12">
        <v>1.3587697979928592</v>
      </c>
      <c r="F79" s="12">
        <v>34.276729559748432</v>
      </c>
      <c r="G79" s="12">
        <v>76</v>
      </c>
      <c r="Y79" s="43">
        <v>141</v>
      </c>
      <c r="Z79" s="43">
        <v>114</v>
      </c>
    </row>
    <row r="80" spans="1:26" x14ac:dyDescent="0.25">
      <c r="A80" s="12">
        <v>56</v>
      </c>
      <c r="B80" s="12">
        <v>98.107892149935566</v>
      </c>
      <c r="C80" s="12">
        <v>-6.1078921499355658</v>
      </c>
      <c r="D80" s="12">
        <v>-0.34072763937333167</v>
      </c>
      <c r="F80" s="12">
        <v>34.905660377358494</v>
      </c>
      <c r="G80" s="12">
        <v>76</v>
      </c>
      <c r="Y80" s="43">
        <v>171</v>
      </c>
      <c r="Z80" s="43">
        <v>156</v>
      </c>
    </row>
    <row r="81" spans="1:26" x14ac:dyDescent="0.25">
      <c r="A81" s="12">
        <v>57</v>
      </c>
      <c r="B81" s="12">
        <v>98.107892149935566</v>
      </c>
      <c r="C81" s="12">
        <v>-14.107892149935566</v>
      </c>
      <c r="D81" s="12">
        <v>-0.78700616690355485</v>
      </c>
      <c r="F81" s="12">
        <v>35.534591194968556</v>
      </c>
      <c r="G81" s="12">
        <v>76</v>
      </c>
      <c r="Y81" s="43">
        <v>120</v>
      </c>
      <c r="Z81" s="43">
        <v>95</v>
      </c>
    </row>
    <row r="82" spans="1:26" x14ac:dyDescent="0.25">
      <c r="A82" s="12">
        <v>58</v>
      </c>
      <c r="B82" s="12">
        <v>117.76257796434398</v>
      </c>
      <c r="C82" s="12">
        <v>-1.7625779643439756</v>
      </c>
      <c r="D82" s="12">
        <v>-9.8325087323080956E-2</v>
      </c>
      <c r="F82" s="12">
        <v>36.163522012578618</v>
      </c>
      <c r="G82" s="12">
        <v>76</v>
      </c>
      <c r="Y82" s="43">
        <v>121</v>
      </c>
      <c r="Z82" s="43">
        <v>110</v>
      </c>
    </row>
    <row r="83" spans="1:26" x14ac:dyDescent="0.25">
      <c r="A83" s="12">
        <v>59</v>
      </c>
      <c r="B83" s="12">
        <v>98.107892149935566</v>
      </c>
      <c r="C83" s="12">
        <v>-6.1078921499355658</v>
      </c>
      <c r="D83" s="12">
        <v>-0.34072763937333167</v>
      </c>
      <c r="F83" s="12">
        <v>36.79245283018868</v>
      </c>
      <c r="G83" s="12">
        <v>76</v>
      </c>
      <c r="Y83" s="43">
        <v>121</v>
      </c>
      <c r="Z83" s="43">
        <v>110</v>
      </c>
    </row>
    <row r="84" spans="1:26" x14ac:dyDescent="0.25">
      <c r="A84" s="12">
        <v>60</v>
      </c>
      <c r="B84" s="12">
        <v>88.280549242731368</v>
      </c>
      <c r="C84" s="12">
        <v>-15.280549242731368</v>
      </c>
      <c r="D84" s="12">
        <v>-0.85242262698740279</v>
      </c>
      <c r="F84" s="12">
        <v>37.421383647798741</v>
      </c>
      <c r="G84" s="12">
        <v>82</v>
      </c>
      <c r="Y84" s="43">
        <v>181</v>
      </c>
      <c r="Z84" s="43">
        <v>152</v>
      </c>
    </row>
    <row r="85" spans="1:26" x14ac:dyDescent="0.25">
      <c r="A85" s="12">
        <v>61</v>
      </c>
      <c r="B85" s="12">
        <v>98.107892149935566</v>
      </c>
      <c r="C85" s="12">
        <v>-14.107892149935566</v>
      </c>
      <c r="D85" s="12">
        <v>-0.78700616690355485</v>
      </c>
      <c r="F85" s="12">
        <v>38.050314465408803</v>
      </c>
      <c r="G85" s="12">
        <v>82</v>
      </c>
      <c r="Y85" s="43">
        <v>109</v>
      </c>
      <c r="Z85" s="43">
        <v>102</v>
      </c>
    </row>
    <row r="86" spans="1:26" x14ac:dyDescent="0.25">
      <c r="A86" s="12">
        <v>62</v>
      </c>
      <c r="B86" s="12">
        <v>88.280549242731368</v>
      </c>
      <c r="C86" s="12">
        <v>11.719450757268632</v>
      </c>
      <c r="D86" s="12">
        <v>0.65376740342710049</v>
      </c>
      <c r="F86" s="12">
        <v>38.679245283018872</v>
      </c>
      <c r="G86" s="12">
        <v>82</v>
      </c>
      <c r="Y86" s="43">
        <v>181</v>
      </c>
      <c r="Z86" s="43">
        <v>152</v>
      </c>
    </row>
    <row r="87" spans="1:26" x14ac:dyDescent="0.25">
      <c r="A87" s="12">
        <v>63</v>
      </c>
      <c r="B87" s="12">
        <v>88.280549242731368</v>
      </c>
      <c r="C87" s="12">
        <v>-2.2805492427313681</v>
      </c>
      <c r="D87" s="12">
        <v>-0.12722001975079006</v>
      </c>
      <c r="F87" s="12">
        <v>39.308176100628934</v>
      </c>
      <c r="G87" s="12">
        <v>82</v>
      </c>
      <c r="Y87" s="43">
        <v>181</v>
      </c>
      <c r="Z87" s="43">
        <v>152</v>
      </c>
    </row>
    <row r="88" spans="1:26" x14ac:dyDescent="0.25">
      <c r="A88" s="12">
        <v>64</v>
      </c>
      <c r="B88" s="12">
        <v>98.107892149935566</v>
      </c>
      <c r="C88" s="12">
        <v>-14.107892149935566</v>
      </c>
      <c r="D88" s="12">
        <v>-0.78700616690355485</v>
      </c>
      <c r="F88" s="12">
        <v>39.937106918238996</v>
      </c>
      <c r="G88" s="12">
        <v>82</v>
      </c>
      <c r="Y88" s="43">
        <v>141</v>
      </c>
      <c r="Z88" s="43">
        <v>114</v>
      </c>
    </row>
    <row r="89" spans="1:26" x14ac:dyDescent="0.25">
      <c r="A89" s="12">
        <v>65</v>
      </c>
      <c r="B89" s="12">
        <v>86.642658758197328</v>
      </c>
      <c r="C89" s="12">
        <v>7.357341241802672</v>
      </c>
      <c r="D89" s="12">
        <v>0.41042792699113501</v>
      </c>
      <c r="F89" s="12">
        <v>40.566037735849058</v>
      </c>
      <c r="G89" s="12">
        <v>84</v>
      </c>
      <c r="Y89" s="43">
        <v>152</v>
      </c>
      <c r="Z89" s="43">
        <v>95</v>
      </c>
    </row>
    <row r="90" spans="1:26" x14ac:dyDescent="0.25">
      <c r="A90" s="12">
        <v>66</v>
      </c>
      <c r="B90" s="12">
        <v>87.461604000464348</v>
      </c>
      <c r="C90" s="12">
        <v>12.538395999535652</v>
      </c>
      <c r="D90" s="12">
        <v>0.69945211303295152</v>
      </c>
      <c r="F90" s="12">
        <v>41.19496855345912</v>
      </c>
      <c r="G90" s="12">
        <v>84</v>
      </c>
      <c r="Y90" s="43">
        <v>156</v>
      </c>
      <c r="Z90" s="43">
        <v>145</v>
      </c>
    </row>
    <row r="91" spans="1:26" x14ac:dyDescent="0.25">
      <c r="A91" s="12">
        <v>67</v>
      </c>
      <c r="B91" s="12">
        <v>117.76257796434398</v>
      </c>
      <c r="C91" s="12">
        <v>-1.7625779643439756</v>
      </c>
      <c r="D91" s="12">
        <v>-9.8325087323080956E-2</v>
      </c>
      <c r="F91" s="12">
        <v>41.823899371069182</v>
      </c>
      <c r="G91" s="12">
        <v>84</v>
      </c>
      <c r="Y91" s="43">
        <v>110</v>
      </c>
      <c r="Z91" s="43">
        <v>101</v>
      </c>
    </row>
    <row r="92" spans="1:26" x14ac:dyDescent="0.25">
      <c r="A92" s="12">
        <v>68</v>
      </c>
      <c r="B92" s="12">
        <v>98.107892149935566</v>
      </c>
      <c r="C92" s="12">
        <v>-6.1078921499355658</v>
      </c>
      <c r="D92" s="12">
        <v>-0.34072763937333167</v>
      </c>
      <c r="F92" s="12">
        <v>42.452830188679243</v>
      </c>
      <c r="G92" s="12">
        <v>84</v>
      </c>
      <c r="Y92" s="43">
        <v>141</v>
      </c>
      <c r="Z92" s="43">
        <v>114</v>
      </c>
    </row>
    <row r="93" spans="1:26" x14ac:dyDescent="0.25">
      <c r="A93" s="12">
        <v>69</v>
      </c>
      <c r="B93" s="12">
        <v>87.461604000464348</v>
      </c>
      <c r="C93" s="12">
        <v>2.538395999535652</v>
      </c>
      <c r="D93" s="12">
        <v>0.14160395362017247</v>
      </c>
      <c r="F93" s="12">
        <v>43.081761006289312</v>
      </c>
      <c r="G93" s="12">
        <v>84</v>
      </c>
      <c r="Y93" s="43">
        <v>121</v>
      </c>
      <c r="Z93" s="43">
        <v>110</v>
      </c>
    </row>
    <row r="94" spans="1:26" x14ac:dyDescent="0.25">
      <c r="A94" s="12">
        <v>70</v>
      </c>
      <c r="B94" s="12">
        <v>86.642658758197328</v>
      </c>
      <c r="C94" s="12">
        <v>7.357341241802672</v>
      </c>
      <c r="D94" s="12">
        <v>0.41042792699113501</v>
      </c>
      <c r="F94" s="12">
        <v>43.710691823899374</v>
      </c>
      <c r="G94" s="12">
        <v>85</v>
      </c>
      <c r="Y94" s="43">
        <v>120</v>
      </c>
      <c r="Z94" s="43">
        <v>97</v>
      </c>
    </row>
    <row r="95" spans="1:26" x14ac:dyDescent="0.25">
      <c r="A95" s="12">
        <v>71</v>
      </c>
      <c r="B95" s="12">
        <v>88.280549242731368</v>
      </c>
      <c r="C95" s="12">
        <v>27.719450757268632</v>
      </c>
      <c r="D95" s="12">
        <v>1.5463244584875468</v>
      </c>
      <c r="F95" s="12">
        <v>44.339622641509436</v>
      </c>
      <c r="G95" s="12">
        <v>85</v>
      </c>
      <c r="Y95" s="43">
        <v>121</v>
      </c>
      <c r="Z95" s="43">
        <v>110</v>
      </c>
    </row>
    <row r="96" spans="1:26" x14ac:dyDescent="0.25">
      <c r="A96" s="12">
        <v>72</v>
      </c>
      <c r="B96" s="12">
        <v>117.76257796434398</v>
      </c>
      <c r="C96" s="12">
        <v>-1.7625779643439756</v>
      </c>
      <c r="D96" s="12">
        <v>-9.8325087323080956E-2</v>
      </c>
      <c r="F96" s="12">
        <v>44.968553459119498</v>
      </c>
      <c r="G96" s="12">
        <v>85</v>
      </c>
      <c r="Y96" s="43">
        <v>108</v>
      </c>
      <c r="Z96" s="43">
        <v>111</v>
      </c>
    </row>
    <row r="97" spans="1:26" x14ac:dyDescent="0.25">
      <c r="A97" s="12">
        <v>73</v>
      </c>
      <c r="B97" s="12">
        <v>96.47000166540154</v>
      </c>
      <c r="C97" s="12">
        <v>0.52999833459846002</v>
      </c>
      <c r="D97" s="12">
        <v>2.9565859544758911E-2</v>
      </c>
      <c r="F97" s="12">
        <v>45.59748427672956</v>
      </c>
      <c r="G97" s="12">
        <v>86</v>
      </c>
      <c r="Y97" s="43">
        <v>146</v>
      </c>
      <c r="Z97" s="43">
        <v>116</v>
      </c>
    </row>
    <row r="98" spans="1:26" x14ac:dyDescent="0.25">
      <c r="A98" s="12">
        <v>74</v>
      </c>
      <c r="B98" s="12">
        <v>78.45320633552717</v>
      </c>
      <c r="C98" s="12">
        <v>33.54679366447283</v>
      </c>
      <c r="D98" s="12">
        <v>1.8714017099926443</v>
      </c>
      <c r="F98" s="12">
        <v>46.226415094339622</v>
      </c>
      <c r="G98" s="12">
        <v>86</v>
      </c>
      <c r="Y98" s="43">
        <v>108</v>
      </c>
      <c r="Z98" s="43">
        <v>111</v>
      </c>
    </row>
    <row r="99" spans="1:26" x14ac:dyDescent="0.25">
      <c r="A99" s="12">
        <v>75</v>
      </c>
      <c r="B99" s="12">
        <v>77.63426109326015</v>
      </c>
      <c r="C99" s="12">
        <v>-9.6342610932601502</v>
      </c>
      <c r="D99" s="12">
        <v>-0.53744548181773222</v>
      </c>
      <c r="F99" s="12">
        <v>46.855345911949684</v>
      </c>
      <c r="G99" s="12">
        <v>86</v>
      </c>
      <c r="Y99" s="43">
        <v>122</v>
      </c>
      <c r="Z99" s="43">
        <v>92</v>
      </c>
    </row>
    <row r="100" spans="1:26" x14ac:dyDescent="0.25">
      <c r="A100" s="12">
        <v>76</v>
      </c>
      <c r="B100" s="12">
        <v>78.45320633552717</v>
      </c>
      <c r="C100" s="12">
        <v>33.54679366447283</v>
      </c>
      <c r="D100" s="12">
        <v>1.8714017099926443</v>
      </c>
      <c r="F100" s="12">
        <v>47.484276729559753</v>
      </c>
      <c r="G100" s="12">
        <v>86</v>
      </c>
      <c r="Y100" s="43">
        <v>122</v>
      </c>
      <c r="Z100" s="43">
        <v>84</v>
      </c>
    </row>
    <row r="101" spans="1:26" x14ac:dyDescent="0.25">
      <c r="A101" s="12">
        <v>77</v>
      </c>
      <c r="B101" s="12">
        <v>88.280549242731368</v>
      </c>
      <c r="C101" s="12">
        <v>27.719450757268632</v>
      </c>
      <c r="D101" s="12">
        <v>1.5463244584875468</v>
      </c>
      <c r="F101" s="12">
        <v>48.113207547169814</v>
      </c>
      <c r="G101" s="12">
        <v>88</v>
      </c>
      <c r="Y101" s="43">
        <v>146</v>
      </c>
      <c r="Z101" s="43">
        <v>116</v>
      </c>
    </row>
    <row r="102" spans="1:26" x14ac:dyDescent="0.25">
      <c r="A102" s="12">
        <v>78</v>
      </c>
      <c r="B102" s="12">
        <v>88.280549242731368</v>
      </c>
      <c r="C102" s="12">
        <v>27.719450757268632</v>
      </c>
      <c r="D102" s="12">
        <v>1.5463244584875468</v>
      </c>
      <c r="F102" s="12">
        <v>48.742138364779876</v>
      </c>
      <c r="G102" s="12">
        <v>88</v>
      </c>
      <c r="Y102" s="43">
        <v>122</v>
      </c>
      <c r="Z102" s="43">
        <v>92</v>
      </c>
    </row>
    <row r="103" spans="1:26" x14ac:dyDescent="0.25">
      <c r="A103" s="12">
        <v>79</v>
      </c>
      <c r="B103" s="12">
        <v>78.45320633552717</v>
      </c>
      <c r="C103" s="12">
        <v>-8.4532063355271703</v>
      </c>
      <c r="D103" s="12">
        <v>-0.47156055954102744</v>
      </c>
      <c r="F103" s="12">
        <v>49.371069182389938</v>
      </c>
      <c r="G103" s="12">
        <v>88</v>
      </c>
      <c r="Y103" s="43">
        <v>110</v>
      </c>
      <c r="Z103" s="43">
        <v>73</v>
      </c>
    </row>
    <row r="104" spans="1:26" x14ac:dyDescent="0.25">
      <c r="A104" s="12">
        <v>80</v>
      </c>
      <c r="B104" s="12">
        <v>86.642658758197328</v>
      </c>
      <c r="C104" s="12">
        <v>-4.642658758197328</v>
      </c>
      <c r="D104" s="12">
        <v>-0.25898986430419974</v>
      </c>
      <c r="F104" s="12">
        <v>50</v>
      </c>
      <c r="G104" s="12">
        <v>88</v>
      </c>
      <c r="Y104" s="43">
        <v>122</v>
      </c>
      <c r="Z104" s="43">
        <v>84</v>
      </c>
    </row>
    <row r="105" spans="1:26" x14ac:dyDescent="0.25">
      <c r="A105" s="12">
        <v>81</v>
      </c>
      <c r="B105" s="12">
        <v>88.280549242731368</v>
      </c>
      <c r="C105" s="12">
        <v>-2.2805492427313681</v>
      </c>
      <c r="D105" s="12">
        <v>-0.12722001975079006</v>
      </c>
      <c r="F105" s="12">
        <v>50.628930817610062</v>
      </c>
      <c r="G105" s="12">
        <v>88</v>
      </c>
      <c r="Y105" s="43">
        <v>110</v>
      </c>
      <c r="Z105" s="43">
        <v>100</v>
      </c>
    </row>
    <row r="106" spans="1:26" x14ac:dyDescent="0.25">
      <c r="A106" s="12">
        <v>82</v>
      </c>
      <c r="B106" s="12">
        <v>96.47000166540154</v>
      </c>
      <c r="C106" s="12">
        <v>0.52999833459846002</v>
      </c>
      <c r="D106" s="12">
        <v>2.9565859544758911E-2</v>
      </c>
      <c r="F106" s="12">
        <v>51.257861635220124</v>
      </c>
      <c r="G106" s="12">
        <v>90</v>
      </c>
      <c r="Y106" s="43">
        <v>110</v>
      </c>
      <c r="Z106" s="43">
        <v>86</v>
      </c>
    </row>
    <row r="107" spans="1:26" x14ac:dyDescent="0.25">
      <c r="A107" s="12">
        <v>83</v>
      </c>
      <c r="B107" s="12">
        <v>98.107892149935566</v>
      </c>
      <c r="C107" s="12">
        <v>-6.1078921499355658</v>
      </c>
      <c r="D107" s="12">
        <v>-0.34072763937333167</v>
      </c>
      <c r="F107" s="12">
        <v>51.886792452830193</v>
      </c>
      <c r="G107" s="12">
        <v>92</v>
      </c>
      <c r="Y107" s="43">
        <v>122</v>
      </c>
      <c r="Z107" s="43">
        <v>84</v>
      </c>
    </row>
    <row r="108" spans="1:26" x14ac:dyDescent="0.25">
      <c r="A108" s="12">
        <v>84</v>
      </c>
      <c r="B108" s="12">
        <v>98.107892149935566</v>
      </c>
      <c r="C108" s="12">
        <v>-10.107892149935566</v>
      </c>
      <c r="D108" s="12">
        <v>-0.56386690313844334</v>
      </c>
      <c r="F108" s="12">
        <v>52.515723270440255</v>
      </c>
      <c r="G108" s="12">
        <v>92</v>
      </c>
      <c r="Y108" s="43">
        <v>108</v>
      </c>
      <c r="Z108" s="43">
        <v>94</v>
      </c>
    </row>
    <row r="109" spans="1:26" x14ac:dyDescent="0.25">
      <c r="A109" s="12">
        <v>85</v>
      </c>
      <c r="B109" s="12">
        <v>98.107892149935566</v>
      </c>
      <c r="C109" s="12">
        <v>-10.107892149935566</v>
      </c>
      <c r="D109" s="12">
        <v>-0.56386690313844334</v>
      </c>
      <c r="F109" s="12">
        <v>53.144654088050316</v>
      </c>
      <c r="G109" s="12">
        <v>92</v>
      </c>
      <c r="Y109" s="43">
        <v>109</v>
      </c>
      <c r="Z109" s="43">
        <v>100</v>
      </c>
    </row>
    <row r="110" spans="1:26" x14ac:dyDescent="0.25">
      <c r="A110" s="12">
        <v>86</v>
      </c>
      <c r="B110" s="12">
        <v>88.280549242731368</v>
      </c>
      <c r="C110" s="12">
        <v>-2.2805492427313681</v>
      </c>
      <c r="D110" s="12">
        <v>-0.12722001975079006</v>
      </c>
      <c r="F110" s="12">
        <v>53.773584905660378</v>
      </c>
      <c r="G110" s="12">
        <v>92</v>
      </c>
      <c r="Y110" s="43">
        <v>146</v>
      </c>
      <c r="Z110" s="43">
        <v>116</v>
      </c>
    </row>
    <row r="111" spans="1:26" x14ac:dyDescent="0.25">
      <c r="A111" s="12">
        <v>87</v>
      </c>
      <c r="B111" s="12">
        <v>98.107892149935566</v>
      </c>
      <c r="C111" s="12">
        <v>-14.107892149935566</v>
      </c>
      <c r="D111" s="12">
        <v>-0.78700616690355485</v>
      </c>
      <c r="F111" s="12">
        <v>54.40251572327044</v>
      </c>
      <c r="G111" s="12">
        <v>94</v>
      </c>
      <c r="Y111" s="43">
        <v>122</v>
      </c>
      <c r="Z111" s="43">
        <v>92</v>
      </c>
    </row>
    <row r="112" spans="1:26" x14ac:dyDescent="0.25">
      <c r="A112" s="12">
        <v>88</v>
      </c>
      <c r="B112" s="12">
        <v>73.539534881925064</v>
      </c>
      <c r="C112" s="12">
        <v>-11.539534881925064</v>
      </c>
      <c r="D112" s="12">
        <v>-0.64373082943614568</v>
      </c>
      <c r="F112" s="12">
        <v>55.031446540880502</v>
      </c>
      <c r="G112" s="12">
        <v>94</v>
      </c>
      <c r="Y112" s="43">
        <v>109</v>
      </c>
      <c r="Z112" s="43">
        <v>90</v>
      </c>
    </row>
    <row r="113" spans="1:26" x14ac:dyDescent="0.25">
      <c r="A113" s="12">
        <v>89</v>
      </c>
      <c r="B113" s="12">
        <v>98.107892149935566</v>
      </c>
      <c r="C113" s="12">
        <v>-10.107892149935566</v>
      </c>
      <c r="D113" s="12">
        <v>-0.56386690313844334</v>
      </c>
      <c r="F113" s="12">
        <v>55.660377358490564</v>
      </c>
      <c r="G113" s="12">
        <v>95</v>
      </c>
      <c r="Y113" s="43">
        <v>108</v>
      </c>
      <c r="Z113" s="43">
        <v>94</v>
      </c>
    </row>
    <row r="114" spans="1:26" x14ac:dyDescent="0.25">
      <c r="A114" s="12">
        <v>90</v>
      </c>
      <c r="B114" s="12">
        <v>98.107892149935566</v>
      </c>
      <c r="C114" s="12">
        <v>-14.107892149935566</v>
      </c>
      <c r="D114" s="12">
        <v>-0.78700616690355485</v>
      </c>
      <c r="F114" s="12">
        <v>56.289308176100633</v>
      </c>
      <c r="G114" s="12">
        <v>95</v>
      </c>
      <c r="Y114" s="43">
        <v>110</v>
      </c>
      <c r="Z114" s="43">
        <v>116</v>
      </c>
    </row>
    <row r="115" spans="1:26" x14ac:dyDescent="0.25">
      <c r="A115" s="12">
        <v>91</v>
      </c>
      <c r="B115" s="12">
        <v>87.461604000464348</v>
      </c>
      <c r="C115" s="12">
        <v>-2.461604000464348</v>
      </c>
      <c r="D115" s="12">
        <v>-0.13732012608621702</v>
      </c>
      <c r="F115" s="12">
        <v>56.918238993710695</v>
      </c>
      <c r="G115" s="12">
        <v>95</v>
      </c>
      <c r="Y115" s="43">
        <v>146</v>
      </c>
      <c r="Z115" s="43">
        <v>116</v>
      </c>
    </row>
    <row r="116" spans="1:26" x14ac:dyDescent="0.25">
      <c r="A116" s="12">
        <v>92</v>
      </c>
      <c r="B116" s="12">
        <v>117.76257796434398</v>
      </c>
      <c r="C116" s="12">
        <v>-1.7625779643439756</v>
      </c>
      <c r="D116" s="12">
        <v>-9.8325087323080956E-2</v>
      </c>
      <c r="F116" s="12">
        <v>57.547169811320757</v>
      </c>
      <c r="G116" s="12">
        <v>95</v>
      </c>
      <c r="Y116" s="43">
        <v>120</v>
      </c>
      <c r="Z116" s="43">
        <v>97</v>
      </c>
    </row>
    <row r="117" spans="1:26" x14ac:dyDescent="0.25">
      <c r="A117" s="12">
        <v>93</v>
      </c>
      <c r="B117" s="12">
        <v>78.45320633552717</v>
      </c>
      <c r="C117" s="12">
        <v>-8.4532063355271703</v>
      </c>
      <c r="D117" s="12">
        <v>-0.47156055954102744</v>
      </c>
      <c r="F117" s="12">
        <v>58.176100628930818</v>
      </c>
      <c r="G117" s="12">
        <v>97</v>
      </c>
      <c r="Y117" s="43">
        <v>98</v>
      </c>
      <c r="Z117" s="43">
        <v>112</v>
      </c>
    </row>
    <row r="118" spans="1:26" x14ac:dyDescent="0.25">
      <c r="A118" s="12">
        <v>94</v>
      </c>
      <c r="B118" s="12">
        <v>77.63426109326015</v>
      </c>
      <c r="C118" s="12">
        <v>-8.6342610932601502</v>
      </c>
      <c r="D118" s="12">
        <v>-0.4816606658764544</v>
      </c>
      <c r="F118" s="12">
        <v>58.80503144654088</v>
      </c>
      <c r="G118" s="12">
        <v>97</v>
      </c>
      <c r="Y118" s="43">
        <v>97</v>
      </c>
      <c r="Z118" s="43">
        <v>68</v>
      </c>
    </row>
    <row r="119" spans="1:26" x14ac:dyDescent="0.25">
      <c r="A119" s="12">
        <v>95</v>
      </c>
      <c r="B119" s="12">
        <v>78.45320633552717</v>
      </c>
      <c r="C119" s="12">
        <v>-8.4532063355271703</v>
      </c>
      <c r="D119" s="12">
        <v>-0.47156055954102744</v>
      </c>
      <c r="F119" s="12">
        <v>59.433962264150942</v>
      </c>
      <c r="G119" s="12">
        <v>97</v>
      </c>
      <c r="Y119" s="43">
        <v>98</v>
      </c>
      <c r="Z119" s="43">
        <v>112</v>
      </c>
    </row>
    <row r="120" spans="1:26" x14ac:dyDescent="0.25">
      <c r="A120" s="12">
        <v>96</v>
      </c>
      <c r="B120" s="12">
        <v>87.461604000464348</v>
      </c>
      <c r="C120" s="12">
        <v>-2.461604000464348</v>
      </c>
      <c r="D120" s="12">
        <v>-0.13732012608621702</v>
      </c>
      <c r="F120" s="12">
        <v>60.062893081761004</v>
      </c>
      <c r="G120" s="12">
        <v>97</v>
      </c>
      <c r="Y120" s="43">
        <v>110</v>
      </c>
      <c r="Z120" s="43">
        <v>116</v>
      </c>
    </row>
    <row r="121" spans="1:26" x14ac:dyDescent="0.25">
      <c r="A121" s="12">
        <v>97</v>
      </c>
      <c r="B121" s="12">
        <v>98.107892149935566</v>
      </c>
      <c r="C121" s="12">
        <v>-10.107892149935566</v>
      </c>
      <c r="D121" s="12">
        <v>-0.56386690313844334</v>
      </c>
      <c r="F121" s="12">
        <v>60.691823899371073</v>
      </c>
      <c r="G121" s="12">
        <v>100</v>
      </c>
      <c r="Y121" s="43">
        <v>110</v>
      </c>
      <c r="Z121" s="43">
        <v>116</v>
      </c>
    </row>
    <row r="122" spans="1:26" x14ac:dyDescent="0.25">
      <c r="A122" s="12">
        <v>98</v>
      </c>
      <c r="B122" s="12">
        <v>78.45320633552717</v>
      </c>
      <c r="C122" s="12">
        <v>-8.4532063355271703</v>
      </c>
      <c r="D122" s="12">
        <v>-0.47156055954102744</v>
      </c>
      <c r="F122" s="12">
        <v>61.320754716981135</v>
      </c>
      <c r="G122" s="12">
        <v>100</v>
      </c>
      <c r="Y122" s="43">
        <v>98</v>
      </c>
      <c r="Z122" s="43">
        <v>70</v>
      </c>
    </row>
    <row r="123" spans="1:26" x14ac:dyDescent="0.25">
      <c r="A123" s="12">
        <v>99</v>
      </c>
      <c r="B123" s="12">
        <v>86.642658758197328</v>
      </c>
      <c r="C123" s="12">
        <v>-4.642658758197328</v>
      </c>
      <c r="D123" s="12">
        <v>-0.25898986430419974</v>
      </c>
      <c r="F123" s="12">
        <v>61.949685534591197</v>
      </c>
      <c r="G123" s="12">
        <v>101</v>
      </c>
      <c r="Y123" s="43">
        <v>108</v>
      </c>
      <c r="Z123" s="43">
        <v>82</v>
      </c>
    </row>
    <row r="124" spans="1:26" x14ac:dyDescent="0.25">
      <c r="A124" s="12">
        <v>100</v>
      </c>
      <c r="B124" s="12">
        <v>77.63426109326015</v>
      </c>
      <c r="C124" s="12">
        <v>-8.6342610932601502</v>
      </c>
      <c r="D124" s="12">
        <v>-0.4816606658764544</v>
      </c>
      <c r="F124" s="12">
        <v>62.578616352201259</v>
      </c>
      <c r="G124" s="12">
        <v>101</v>
      </c>
      <c r="Y124" s="43">
        <v>110</v>
      </c>
      <c r="Z124" s="43">
        <v>86</v>
      </c>
    </row>
    <row r="125" spans="1:26" x14ac:dyDescent="0.25">
      <c r="A125" s="12">
        <v>101</v>
      </c>
      <c r="B125" s="12">
        <v>77.63426109326015</v>
      </c>
      <c r="C125" s="12">
        <v>-25.63426109326015</v>
      </c>
      <c r="D125" s="12">
        <v>-1.4300025368781786</v>
      </c>
      <c r="F125" s="12">
        <v>63.20754716981132</v>
      </c>
      <c r="G125" s="12">
        <v>101</v>
      </c>
      <c r="Y125" s="43">
        <v>120</v>
      </c>
      <c r="Z125" s="43">
        <v>97</v>
      </c>
    </row>
    <row r="126" spans="1:26" x14ac:dyDescent="0.25">
      <c r="A126" s="12">
        <v>102</v>
      </c>
      <c r="B126" s="12">
        <v>87.461604000464348</v>
      </c>
      <c r="C126" s="12">
        <v>-2.461604000464348</v>
      </c>
      <c r="D126" s="12">
        <v>-0.13732012608621702</v>
      </c>
      <c r="F126" s="12">
        <v>63.836477987421382</v>
      </c>
      <c r="G126" s="12">
        <v>102</v>
      </c>
      <c r="Y126" s="43">
        <v>122</v>
      </c>
      <c r="Z126" s="43">
        <v>92</v>
      </c>
    </row>
    <row r="127" spans="1:26" x14ac:dyDescent="0.25">
      <c r="A127" s="12">
        <v>103</v>
      </c>
      <c r="B127" s="12">
        <v>78.45320633552717</v>
      </c>
      <c r="C127" s="12">
        <v>23.54679366447283</v>
      </c>
      <c r="D127" s="12">
        <v>1.3135535505798654</v>
      </c>
      <c r="F127" s="12">
        <v>64.465408805031444</v>
      </c>
      <c r="G127" s="12">
        <v>102</v>
      </c>
      <c r="Y127" s="43">
        <v>122</v>
      </c>
      <c r="Z127" s="43">
        <v>88</v>
      </c>
    </row>
    <row r="128" spans="1:26" x14ac:dyDescent="0.25">
      <c r="A128" s="12">
        <v>104</v>
      </c>
      <c r="B128" s="12">
        <v>78.45320633552717</v>
      </c>
      <c r="C128" s="12">
        <v>23.54679366447283</v>
      </c>
      <c r="D128" s="12">
        <v>1.3135535505798654</v>
      </c>
      <c r="F128" s="12">
        <v>65.094339622641513</v>
      </c>
      <c r="G128" s="12">
        <v>102</v>
      </c>
      <c r="Y128" s="43">
        <v>122</v>
      </c>
      <c r="Z128" s="43">
        <v>88</v>
      </c>
    </row>
    <row r="129" spans="1:26" x14ac:dyDescent="0.25">
      <c r="A129" s="12">
        <v>105</v>
      </c>
      <c r="B129" s="12">
        <v>73.539534881925064</v>
      </c>
      <c r="C129" s="12">
        <v>-11.539534881925064</v>
      </c>
      <c r="D129" s="12">
        <v>-0.64373082943614568</v>
      </c>
      <c r="F129" s="12">
        <v>65.723270440251568</v>
      </c>
      <c r="G129" s="12">
        <v>102</v>
      </c>
      <c r="Y129" s="43">
        <v>110</v>
      </c>
      <c r="Z129" s="43">
        <v>86</v>
      </c>
    </row>
    <row r="130" spans="1:26" x14ac:dyDescent="0.25">
      <c r="A130" s="12">
        <v>106</v>
      </c>
      <c r="B130" s="12">
        <v>88.280549242731368</v>
      </c>
      <c r="C130" s="12">
        <v>-32.280549242731368</v>
      </c>
      <c r="D130" s="12">
        <v>-1.8007644979891271</v>
      </c>
      <c r="F130" s="12">
        <v>66.352201257861637</v>
      </c>
      <c r="G130" s="12">
        <v>106</v>
      </c>
      <c r="Y130" s="43">
        <v>122</v>
      </c>
      <c r="Z130" s="43">
        <v>84</v>
      </c>
    </row>
    <row r="131" spans="1:26" x14ac:dyDescent="0.25">
      <c r="A131" s="12">
        <v>107</v>
      </c>
      <c r="B131" s="12">
        <v>88.280549242731368</v>
      </c>
      <c r="C131" s="12">
        <v>-2.2805492427313681</v>
      </c>
      <c r="D131" s="12">
        <v>-0.12722001975079006</v>
      </c>
      <c r="F131" s="12">
        <v>66.981132075471692</v>
      </c>
      <c r="G131" s="12">
        <v>110</v>
      </c>
      <c r="Y131" s="43">
        <v>92</v>
      </c>
      <c r="Z131" s="43">
        <v>62</v>
      </c>
    </row>
    <row r="132" spans="1:26" x14ac:dyDescent="0.25">
      <c r="A132" s="12">
        <v>108</v>
      </c>
      <c r="B132" s="12">
        <v>77.63426109326015</v>
      </c>
      <c r="C132" s="12">
        <v>-8.6342610932601502</v>
      </c>
      <c r="D132" s="12">
        <v>-0.4816606658764544</v>
      </c>
      <c r="F132" s="12">
        <v>67.610062893081761</v>
      </c>
      <c r="G132" s="12">
        <v>110</v>
      </c>
      <c r="Y132" s="43">
        <v>122</v>
      </c>
      <c r="Z132" s="43">
        <v>88</v>
      </c>
    </row>
    <row r="133" spans="1:26" x14ac:dyDescent="0.25">
      <c r="A133" s="12">
        <v>109</v>
      </c>
      <c r="B133" s="12">
        <v>88.280549242731368</v>
      </c>
      <c r="C133" s="12">
        <v>-32.280549242731368</v>
      </c>
      <c r="D133" s="12">
        <v>-1.8007644979891271</v>
      </c>
      <c r="F133" s="12">
        <v>68.23899371069183</v>
      </c>
      <c r="G133" s="12">
        <v>110</v>
      </c>
      <c r="Y133" s="43">
        <v>122</v>
      </c>
      <c r="Z133" s="43">
        <v>84</v>
      </c>
    </row>
    <row r="134" spans="1:26" x14ac:dyDescent="0.25">
      <c r="A134" s="12">
        <v>110</v>
      </c>
      <c r="B134" s="12">
        <v>86.642658758197328</v>
      </c>
      <c r="C134" s="12">
        <v>-4.642658758197328</v>
      </c>
      <c r="D134" s="12">
        <v>-0.25898986430419974</v>
      </c>
      <c r="F134" s="12">
        <v>68.867924528301884</v>
      </c>
      <c r="G134" s="12">
        <v>110</v>
      </c>
      <c r="Y134" s="43">
        <v>109</v>
      </c>
      <c r="Z134" s="43">
        <v>85</v>
      </c>
    </row>
    <row r="135" spans="1:26" x14ac:dyDescent="0.25">
      <c r="A135" s="12">
        <v>111</v>
      </c>
      <c r="B135" s="12">
        <v>77.63426109326015</v>
      </c>
      <c r="C135" s="12">
        <v>-25.63426109326015</v>
      </c>
      <c r="D135" s="12">
        <v>-1.4300025368781786</v>
      </c>
      <c r="F135" s="12">
        <v>69.496855345911953</v>
      </c>
      <c r="G135" s="12">
        <v>110</v>
      </c>
      <c r="Y135" s="43">
        <v>146</v>
      </c>
      <c r="Z135" s="43">
        <v>116</v>
      </c>
    </row>
    <row r="136" spans="1:26" x14ac:dyDescent="0.25">
      <c r="A136" s="12">
        <v>112</v>
      </c>
      <c r="B136" s="12">
        <v>78.45320633552717</v>
      </c>
      <c r="C136" s="12">
        <v>-8.4532063355271703</v>
      </c>
      <c r="D136" s="12">
        <v>-0.47156055954102744</v>
      </c>
      <c r="F136" s="12">
        <v>70.125786163522008</v>
      </c>
      <c r="G136" s="12">
        <v>111</v>
      </c>
      <c r="Y136" s="43">
        <v>98</v>
      </c>
      <c r="Z136" s="43">
        <v>70</v>
      </c>
    </row>
    <row r="137" spans="1:26" x14ac:dyDescent="0.25">
      <c r="A137" s="12">
        <v>113</v>
      </c>
      <c r="B137" s="12">
        <v>78.45320633552717</v>
      </c>
      <c r="C137" s="12">
        <v>23.54679366447283</v>
      </c>
      <c r="D137" s="12">
        <v>1.3135535505798654</v>
      </c>
      <c r="F137" s="12">
        <v>70.754716981132077</v>
      </c>
      <c r="G137" s="12">
        <v>111</v>
      </c>
      <c r="Y137" s="43">
        <v>97</v>
      </c>
      <c r="Z137" s="43">
        <v>69</v>
      </c>
    </row>
    <row r="138" spans="1:26" x14ac:dyDescent="0.25">
      <c r="A138" s="12">
        <v>114</v>
      </c>
      <c r="B138" s="12">
        <v>71.901644397391024</v>
      </c>
      <c r="C138" s="12">
        <v>-3.9016443973910242</v>
      </c>
      <c r="D138" s="12">
        <v>-0.2176525145767764</v>
      </c>
      <c r="F138" s="12">
        <v>71.383647798742132</v>
      </c>
      <c r="G138" s="12">
        <v>112</v>
      </c>
      <c r="Y138" s="43">
        <v>98</v>
      </c>
      <c r="Z138" s="43">
        <v>70</v>
      </c>
    </row>
    <row r="139" spans="1:26" x14ac:dyDescent="0.25">
      <c r="A139" s="12">
        <v>115</v>
      </c>
      <c r="B139" s="12">
        <v>78.45320633552717</v>
      </c>
      <c r="C139" s="12">
        <v>-10.45320633552717</v>
      </c>
      <c r="D139" s="12">
        <v>-0.58313019142358324</v>
      </c>
      <c r="F139" s="12">
        <v>72.012578616352201</v>
      </c>
      <c r="G139" s="12">
        <v>112</v>
      </c>
      <c r="Y139" s="43">
        <v>109</v>
      </c>
      <c r="Z139" s="43">
        <v>85</v>
      </c>
    </row>
    <row r="140" spans="1:26" x14ac:dyDescent="0.25">
      <c r="A140" s="12">
        <v>116</v>
      </c>
      <c r="B140" s="12">
        <v>86.642658758197328</v>
      </c>
      <c r="C140" s="12">
        <v>-13.642658758197328</v>
      </c>
      <c r="D140" s="12">
        <v>-0.76105320777570085</v>
      </c>
      <c r="F140" s="12">
        <v>72.64150943396227</v>
      </c>
      <c r="G140" s="12">
        <v>114</v>
      </c>
      <c r="Y140" s="43">
        <v>122</v>
      </c>
      <c r="Z140" s="43">
        <v>88</v>
      </c>
    </row>
    <row r="141" spans="1:26" x14ac:dyDescent="0.25">
      <c r="A141" s="12">
        <v>117</v>
      </c>
      <c r="B141" s="12">
        <v>77.63426109326015</v>
      </c>
      <c r="C141" s="12">
        <v>-8.6342610932601502</v>
      </c>
      <c r="D141" s="12">
        <v>-0.4816606658764544</v>
      </c>
      <c r="F141" s="12">
        <v>73.270440251572325</v>
      </c>
      <c r="G141" s="12">
        <v>114</v>
      </c>
      <c r="Y141" s="43">
        <v>98</v>
      </c>
      <c r="Z141" s="43">
        <v>70</v>
      </c>
    </row>
    <row r="142" spans="1:26" x14ac:dyDescent="0.25">
      <c r="A142" s="12">
        <v>118</v>
      </c>
      <c r="B142" s="12">
        <v>86.642658758197328</v>
      </c>
      <c r="C142" s="12">
        <v>-4.642658758197328</v>
      </c>
      <c r="D142" s="12">
        <v>-0.25898986430419974</v>
      </c>
      <c r="F142" s="12">
        <v>73.899371069182394</v>
      </c>
      <c r="G142" s="12">
        <v>114</v>
      </c>
      <c r="Y142" s="43">
        <v>108</v>
      </c>
      <c r="Z142" s="43">
        <v>82</v>
      </c>
    </row>
    <row r="143" spans="1:26" x14ac:dyDescent="0.25">
      <c r="A143" s="12">
        <v>119</v>
      </c>
      <c r="B143" s="12">
        <v>72.720589639658044</v>
      </c>
      <c r="C143" s="12">
        <v>-4.7205896396580442</v>
      </c>
      <c r="D143" s="12">
        <v>-0.26333722418262734</v>
      </c>
      <c r="F143" s="12">
        <v>74.528301886792448</v>
      </c>
      <c r="G143" s="12">
        <v>114</v>
      </c>
      <c r="Y143" s="43">
        <v>97</v>
      </c>
      <c r="Z143" s="43">
        <v>69</v>
      </c>
    </row>
    <row r="144" spans="1:26" x14ac:dyDescent="0.25">
      <c r="A144" s="12">
        <v>120</v>
      </c>
      <c r="B144" s="12">
        <v>77.63426109326015</v>
      </c>
      <c r="C144" s="12">
        <v>-8.6342610932601502</v>
      </c>
      <c r="D144" s="12">
        <v>-0.4816606658764544</v>
      </c>
      <c r="F144" s="12">
        <v>75.157232704402517</v>
      </c>
      <c r="G144" s="12">
        <v>114</v>
      </c>
      <c r="Y144" s="43">
        <v>97</v>
      </c>
      <c r="Z144" s="43">
        <v>52</v>
      </c>
    </row>
    <row r="145" spans="1:26" x14ac:dyDescent="0.25">
      <c r="A145" s="12">
        <v>121</v>
      </c>
      <c r="B145" s="12">
        <v>77.63426109326015</v>
      </c>
      <c r="C145" s="12">
        <v>-8.6342610932601502</v>
      </c>
      <c r="D145" s="12">
        <v>-0.4816606658764544</v>
      </c>
      <c r="F145" s="12">
        <v>75.786163522012572</v>
      </c>
      <c r="G145" s="12">
        <v>114</v>
      </c>
      <c r="Y145" s="43">
        <v>109</v>
      </c>
      <c r="Z145" s="43">
        <v>85</v>
      </c>
    </row>
    <row r="146" spans="1:26" x14ac:dyDescent="0.25">
      <c r="A146" s="12">
        <v>122</v>
      </c>
      <c r="B146" s="12">
        <v>73.539534881925064</v>
      </c>
      <c r="C146" s="12">
        <v>2.4604651180749357</v>
      </c>
      <c r="D146" s="12">
        <v>0.13725659374174487</v>
      </c>
      <c r="F146" s="12">
        <v>76.415094339622641</v>
      </c>
      <c r="G146" s="12">
        <v>115</v>
      </c>
      <c r="Y146" s="43">
        <v>98</v>
      </c>
      <c r="Z146" s="43">
        <v>102</v>
      </c>
    </row>
    <row r="147" spans="1:26" x14ac:dyDescent="0.25">
      <c r="A147" s="12">
        <v>123</v>
      </c>
      <c r="B147" s="12">
        <v>73.539534881925064</v>
      </c>
      <c r="C147" s="12">
        <v>2.4604651180749357</v>
      </c>
      <c r="D147" s="12">
        <v>0.13725659374174487</v>
      </c>
      <c r="F147" s="12">
        <v>77.04402515723271</v>
      </c>
      <c r="G147" s="12">
        <v>116</v>
      </c>
      <c r="Y147" s="43">
        <v>98</v>
      </c>
      <c r="Z147" s="43">
        <v>102</v>
      </c>
    </row>
    <row r="148" spans="1:26" x14ac:dyDescent="0.25">
      <c r="A148" s="12">
        <v>124</v>
      </c>
      <c r="B148" s="12">
        <v>78.45320633552717</v>
      </c>
      <c r="C148" s="12">
        <v>-8.4532063355271703</v>
      </c>
      <c r="D148" s="12">
        <v>-0.47156055954102744</v>
      </c>
      <c r="F148" s="12">
        <v>77.672955974842765</v>
      </c>
      <c r="G148" s="12">
        <v>116</v>
      </c>
      <c r="Y148" s="43">
        <v>92</v>
      </c>
      <c r="Z148" s="43">
        <v>62</v>
      </c>
    </row>
    <row r="149" spans="1:26" x14ac:dyDescent="0.25">
      <c r="A149" s="12">
        <v>125</v>
      </c>
      <c r="B149" s="12">
        <v>73.539534881925064</v>
      </c>
      <c r="C149" s="12">
        <v>2.4604651180749357</v>
      </c>
      <c r="D149" s="12">
        <v>0.13725659374174487</v>
      </c>
      <c r="F149" s="12">
        <v>78.301886792452834</v>
      </c>
      <c r="G149" s="12">
        <v>116</v>
      </c>
      <c r="Y149" s="43">
        <v>110</v>
      </c>
      <c r="Z149" s="43">
        <v>56</v>
      </c>
    </row>
    <row r="150" spans="1:26" x14ac:dyDescent="0.25">
      <c r="A150" s="12">
        <v>126</v>
      </c>
      <c r="B150" s="12">
        <v>86.642658758197328</v>
      </c>
      <c r="C150" s="12">
        <v>-4.642658758197328</v>
      </c>
      <c r="D150" s="12">
        <v>-0.25898986430419974</v>
      </c>
      <c r="F150" s="12">
        <v>78.930817610062888</v>
      </c>
      <c r="G150" s="12">
        <v>116</v>
      </c>
      <c r="Y150" s="43">
        <v>110</v>
      </c>
      <c r="Z150" s="43">
        <v>86</v>
      </c>
    </row>
    <row r="151" spans="1:26" x14ac:dyDescent="0.25">
      <c r="A151" s="12">
        <v>127</v>
      </c>
      <c r="B151" s="12">
        <v>82.547932546862242</v>
      </c>
      <c r="C151" s="12">
        <v>-27.547932546862242</v>
      </c>
      <c r="D151" s="12">
        <v>-1.5367563466894492</v>
      </c>
      <c r="F151" s="12">
        <v>79.559748427672957</v>
      </c>
      <c r="G151" s="12">
        <v>116</v>
      </c>
      <c r="Y151" s="43">
        <v>97</v>
      </c>
      <c r="Z151" s="43">
        <v>69</v>
      </c>
    </row>
    <row r="152" spans="1:26" x14ac:dyDescent="0.25">
      <c r="A152" s="12">
        <v>128</v>
      </c>
      <c r="B152" s="12">
        <v>86.642658758197328</v>
      </c>
      <c r="C152" s="12">
        <v>-13.642658758197328</v>
      </c>
      <c r="D152" s="12">
        <v>-0.76105320777570085</v>
      </c>
      <c r="F152" s="12">
        <v>80.188679245283012</v>
      </c>
      <c r="G152" s="12">
        <v>116</v>
      </c>
      <c r="Y152" s="43">
        <v>110</v>
      </c>
      <c r="Z152" s="43">
        <v>56</v>
      </c>
    </row>
    <row r="153" spans="1:26" x14ac:dyDescent="0.25">
      <c r="A153" s="12">
        <v>129</v>
      </c>
      <c r="B153" s="12">
        <v>98.107892149935566</v>
      </c>
      <c r="C153" s="12">
        <v>-10.107892149935566</v>
      </c>
      <c r="D153" s="12">
        <v>-0.56386690313844334</v>
      </c>
      <c r="F153" s="12">
        <v>80.817610062893081</v>
      </c>
      <c r="G153" s="12">
        <v>116</v>
      </c>
      <c r="Y153" s="43">
        <v>108</v>
      </c>
      <c r="Z153" s="43">
        <v>82</v>
      </c>
    </row>
    <row r="154" spans="1:26" x14ac:dyDescent="0.25">
      <c r="A154" s="12">
        <v>130</v>
      </c>
      <c r="B154" s="12">
        <v>78.45320633552717</v>
      </c>
      <c r="C154" s="12">
        <v>-8.4532063355271703</v>
      </c>
      <c r="D154" s="12">
        <v>-0.47156055954102744</v>
      </c>
      <c r="F154" s="12">
        <v>81.44654088050315</v>
      </c>
      <c r="G154" s="12">
        <v>116</v>
      </c>
      <c r="Y154" s="43">
        <v>97</v>
      </c>
      <c r="Z154" s="43">
        <v>52</v>
      </c>
    </row>
    <row r="155" spans="1:26" x14ac:dyDescent="0.25">
      <c r="A155" s="12">
        <v>131</v>
      </c>
      <c r="B155" s="12">
        <v>73.539534881925064</v>
      </c>
      <c r="C155" s="12">
        <v>-11.539534881925064</v>
      </c>
      <c r="D155" s="12">
        <v>-0.64373082943614568</v>
      </c>
      <c r="F155" s="12">
        <v>82.075471698113205</v>
      </c>
      <c r="G155" s="12">
        <v>116</v>
      </c>
      <c r="Y155" s="43">
        <v>98</v>
      </c>
      <c r="Z155" s="43">
        <v>70</v>
      </c>
    </row>
    <row r="156" spans="1:26" x14ac:dyDescent="0.25">
      <c r="A156" s="12">
        <v>132</v>
      </c>
      <c r="B156" s="12">
        <v>73.539534881925064</v>
      </c>
      <c r="C156" s="12">
        <v>2.4604651180749357</v>
      </c>
      <c r="D156" s="12">
        <v>0.13725659374174487</v>
      </c>
      <c r="F156" s="12">
        <v>82.704402515723274</v>
      </c>
      <c r="G156" s="12">
        <v>120</v>
      </c>
      <c r="Y156" s="43">
        <v>98</v>
      </c>
      <c r="Z156" s="43">
        <v>102</v>
      </c>
    </row>
    <row r="157" spans="1:26" x14ac:dyDescent="0.25">
      <c r="A157" s="12">
        <v>133</v>
      </c>
      <c r="B157" s="12">
        <v>77.63426109326015</v>
      </c>
      <c r="C157" s="12">
        <v>-8.6342610932601502</v>
      </c>
      <c r="D157" s="12">
        <v>-0.4816606658764544</v>
      </c>
      <c r="F157" s="12">
        <v>83.333333333333329</v>
      </c>
      <c r="G157" s="12">
        <v>121</v>
      </c>
      <c r="Y157" s="43">
        <v>90</v>
      </c>
      <c r="Z157" s="43">
        <v>68</v>
      </c>
    </row>
    <row r="158" spans="1:26" x14ac:dyDescent="0.25">
      <c r="A158" s="12">
        <v>134</v>
      </c>
      <c r="B158" s="12">
        <v>72.720589639658044</v>
      </c>
      <c r="C158" s="12">
        <v>-4.7205896396580442</v>
      </c>
      <c r="D158" s="12">
        <v>-0.26333722418262734</v>
      </c>
      <c r="F158" s="12">
        <v>83.962264150943398</v>
      </c>
      <c r="G158" s="12">
        <v>121</v>
      </c>
      <c r="Y158" s="43">
        <v>98</v>
      </c>
      <c r="Z158" s="43">
        <v>68</v>
      </c>
    </row>
    <row r="159" spans="1:26" x14ac:dyDescent="0.25">
      <c r="A159" s="12">
        <v>135</v>
      </c>
      <c r="B159" s="12">
        <v>72.720589639658044</v>
      </c>
      <c r="C159" s="12">
        <v>-4.7205896396580442</v>
      </c>
      <c r="D159" s="12">
        <v>-0.26333722418262734</v>
      </c>
      <c r="F159" s="12">
        <v>84.591194968553452</v>
      </c>
      <c r="G159" s="12">
        <v>123</v>
      </c>
      <c r="Y159" s="43">
        <v>108</v>
      </c>
      <c r="Z159" s="43">
        <v>73</v>
      </c>
    </row>
    <row r="160" spans="1:26" x14ac:dyDescent="0.25">
      <c r="A160" s="12">
        <v>136</v>
      </c>
      <c r="B160" s="12">
        <v>71.901644397391024</v>
      </c>
      <c r="C160" s="12">
        <v>-3.9016443973910242</v>
      </c>
      <c r="D160" s="12">
        <v>-0.2176525145767764</v>
      </c>
      <c r="F160" s="12">
        <v>85.220125786163521</v>
      </c>
      <c r="G160" s="12">
        <v>123</v>
      </c>
      <c r="Y160" s="43">
        <v>97</v>
      </c>
      <c r="Z160" s="43">
        <v>69</v>
      </c>
    </row>
    <row r="161" spans="1:26" x14ac:dyDescent="0.25">
      <c r="A161" s="12">
        <v>137</v>
      </c>
      <c r="B161" s="12">
        <v>71.901644397391024</v>
      </c>
      <c r="C161" s="12">
        <v>-3.9016443973910242</v>
      </c>
      <c r="D161" s="12">
        <v>-0.2176525145767764</v>
      </c>
      <c r="F161" s="12">
        <v>85.84905660377359</v>
      </c>
      <c r="G161" s="12">
        <v>123</v>
      </c>
      <c r="Y161" s="43">
        <v>108</v>
      </c>
      <c r="Z161" s="43">
        <v>82</v>
      </c>
    </row>
    <row r="162" spans="1:26" x14ac:dyDescent="0.25">
      <c r="A162" s="12">
        <v>138</v>
      </c>
      <c r="B162" s="12">
        <v>73.539534881925064</v>
      </c>
      <c r="C162" s="12">
        <v>-5.5395348819250643</v>
      </c>
      <c r="D162" s="12">
        <v>-0.30902193378847831</v>
      </c>
      <c r="F162" s="12">
        <v>86.477987421383645</v>
      </c>
      <c r="G162" s="12">
        <v>123</v>
      </c>
      <c r="Y162" s="43">
        <v>91</v>
      </c>
      <c r="Z162" s="43">
        <v>68</v>
      </c>
    </row>
    <row r="163" spans="1:26" x14ac:dyDescent="0.25">
      <c r="A163" s="12">
        <v>139</v>
      </c>
      <c r="B163" s="12">
        <v>77.63426109326015</v>
      </c>
      <c r="C163" s="12">
        <v>-8.6342610932601502</v>
      </c>
      <c r="D163" s="12">
        <v>-0.4816606658764544</v>
      </c>
      <c r="F163" s="12">
        <v>87.106918238993714</v>
      </c>
      <c r="G163" s="12">
        <v>134</v>
      </c>
      <c r="Y163" s="43">
        <v>97</v>
      </c>
      <c r="Z163" s="43">
        <v>69</v>
      </c>
    </row>
    <row r="164" spans="1:26" x14ac:dyDescent="0.25">
      <c r="A164" s="12">
        <v>140</v>
      </c>
      <c r="B164" s="12">
        <v>71.901644397391024</v>
      </c>
      <c r="C164" s="12">
        <v>-1.9016443973910242</v>
      </c>
      <c r="D164" s="12">
        <v>-0.10608288269422061</v>
      </c>
      <c r="F164" s="12">
        <v>87.735849056603769</v>
      </c>
      <c r="G164" s="12">
        <v>140</v>
      </c>
      <c r="Y164" s="43">
        <v>97</v>
      </c>
      <c r="Z164" s="43">
        <v>69</v>
      </c>
    </row>
    <row r="165" spans="1:26" x14ac:dyDescent="0.25">
      <c r="A165" s="12">
        <v>141</v>
      </c>
      <c r="B165" s="12">
        <v>73.539534881925064</v>
      </c>
      <c r="C165" s="12">
        <v>2.4604651180749357</v>
      </c>
      <c r="D165" s="12">
        <v>0.13725659374174487</v>
      </c>
      <c r="F165" s="12">
        <v>88.364779874213838</v>
      </c>
      <c r="G165" s="12">
        <v>142</v>
      </c>
      <c r="Y165" s="43">
        <v>92</v>
      </c>
      <c r="Z165" s="43">
        <v>76</v>
      </c>
    </row>
    <row r="166" spans="1:26" x14ac:dyDescent="0.25">
      <c r="A166" s="12">
        <v>142</v>
      </c>
      <c r="B166" s="12">
        <v>73.539534881925064</v>
      </c>
      <c r="C166" s="12">
        <v>-11.539534881925064</v>
      </c>
      <c r="D166" s="12">
        <v>-0.64373082943614568</v>
      </c>
      <c r="F166" s="12">
        <v>88.993710691823892</v>
      </c>
      <c r="G166" s="12">
        <v>143</v>
      </c>
      <c r="Y166" s="43">
        <v>92</v>
      </c>
      <c r="Z166" s="43">
        <v>76</v>
      </c>
    </row>
    <row r="167" spans="1:26" x14ac:dyDescent="0.25">
      <c r="A167" s="12">
        <v>143</v>
      </c>
      <c r="B167" s="12">
        <v>73.539534881925064</v>
      </c>
      <c r="C167" s="12">
        <v>-15.539534881925064</v>
      </c>
      <c r="D167" s="12">
        <v>-0.8668700932012573</v>
      </c>
      <c r="F167" s="12">
        <v>89.622641509433961</v>
      </c>
      <c r="G167" s="12">
        <v>145</v>
      </c>
      <c r="J167" t="s">
        <v>161</v>
      </c>
      <c r="Y167" s="43">
        <v>98</v>
      </c>
      <c r="Z167" s="43">
        <v>70</v>
      </c>
    </row>
    <row r="168" spans="1:26" x14ac:dyDescent="0.25">
      <c r="A168" s="12">
        <v>144</v>
      </c>
      <c r="B168" s="12">
        <v>71.901644397391024</v>
      </c>
      <c r="C168" s="12">
        <v>-3.9016443973910242</v>
      </c>
      <c r="D168" s="12">
        <v>-0.2176525145767764</v>
      </c>
      <c r="F168" s="12">
        <v>90.25157232704403</v>
      </c>
      <c r="G168" s="12">
        <v>152</v>
      </c>
      <c r="J168">
        <f>_xlfn.STDEV.S(C25:C183)</f>
        <v>17.926024907076037</v>
      </c>
      <c r="Y168" s="43">
        <v>92</v>
      </c>
      <c r="Z168" s="43">
        <v>76</v>
      </c>
    </row>
    <row r="169" spans="1:26" x14ac:dyDescent="0.25">
      <c r="A169" s="12">
        <v>145</v>
      </c>
      <c r="B169" s="12">
        <v>73.539534881925064</v>
      </c>
      <c r="C169" s="12">
        <v>-11.539534881925064</v>
      </c>
      <c r="D169" s="12">
        <v>-0.64373082943614568</v>
      </c>
      <c r="F169" s="12">
        <v>90.880503144654085</v>
      </c>
      <c r="G169" s="12">
        <v>152</v>
      </c>
      <c r="Y169" s="43">
        <v>108</v>
      </c>
      <c r="Z169" s="43">
        <v>82</v>
      </c>
    </row>
    <row r="170" spans="1:26" x14ac:dyDescent="0.25">
      <c r="A170" s="12">
        <v>146</v>
      </c>
      <c r="B170" s="12">
        <v>71.901644397391024</v>
      </c>
      <c r="C170" s="12">
        <v>-1.9016443973910242</v>
      </c>
      <c r="D170" s="12">
        <v>-0.10608288269422061</v>
      </c>
      <c r="F170" s="12">
        <v>91.509433962264154</v>
      </c>
      <c r="G170" s="12">
        <v>152</v>
      </c>
      <c r="Y170" s="43">
        <v>103</v>
      </c>
      <c r="Z170" s="43">
        <v>55</v>
      </c>
    </row>
    <row r="171" spans="1:26" x14ac:dyDescent="0.25">
      <c r="A171" s="12">
        <v>147</v>
      </c>
      <c r="B171" s="12">
        <v>71.901644397391024</v>
      </c>
      <c r="C171" s="12">
        <v>-3.9016443973910242</v>
      </c>
      <c r="D171" s="12">
        <v>-0.2176525145767764</v>
      </c>
      <c r="F171" s="12">
        <v>92.138364779874209</v>
      </c>
      <c r="G171" s="12">
        <v>155</v>
      </c>
      <c r="Y171" s="43">
        <v>108</v>
      </c>
      <c r="Z171" s="43">
        <v>73</v>
      </c>
    </row>
    <row r="172" spans="1:26" x14ac:dyDescent="0.25">
      <c r="A172" s="12">
        <v>148</v>
      </c>
      <c r="B172" s="12">
        <v>71.901644397391024</v>
      </c>
      <c r="C172" s="12">
        <v>-3.9016443973910242</v>
      </c>
      <c r="D172" s="12">
        <v>-0.2176525145767764</v>
      </c>
      <c r="F172" s="12">
        <v>92.767295597484278</v>
      </c>
      <c r="G172" s="12">
        <v>156</v>
      </c>
      <c r="Y172" s="43">
        <v>122</v>
      </c>
      <c r="Z172" s="43">
        <v>88</v>
      </c>
    </row>
    <row r="173" spans="1:26" x14ac:dyDescent="0.25">
      <c r="A173" s="12">
        <v>149</v>
      </c>
      <c r="B173" s="12">
        <v>73.539534881925064</v>
      </c>
      <c r="C173" s="12">
        <v>-5.5395348819250643</v>
      </c>
      <c r="D173" s="12">
        <v>-0.30902193378847831</v>
      </c>
      <c r="F173" s="12">
        <v>93.396226415094333</v>
      </c>
      <c r="G173" s="12">
        <v>160</v>
      </c>
      <c r="Y173" s="43">
        <v>98</v>
      </c>
      <c r="Z173" s="43">
        <v>70</v>
      </c>
    </row>
    <row r="174" spans="1:26" x14ac:dyDescent="0.25">
      <c r="A174" s="12">
        <v>150</v>
      </c>
      <c r="B174" s="12">
        <v>72.720589639658044</v>
      </c>
      <c r="C174" s="12">
        <v>-4.7205896396580442</v>
      </c>
      <c r="D174" s="12">
        <v>-0.26333722418262734</v>
      </c>
      <c r="F174" s="12">
        <v>94.025157232704402</v>
      </c>
      <c r="G174" s="12">
        <v>160</v>
      </c>
      <c r="Y174" s="43">
        <v>92</v>
      </c>
      <c r="Z174" s="43">
        <v>62</v>
      </c>
    </row>
    <row r="175" spans="1:26" x14ac:dyDescent="0.25">
      <c r="A175" s="12">
        <v>151</v>
      </c>
      <c r="B175" s="12">
        <v>71.901644397391024</v>
      </c>
      <c r="C175" s="12">
        <v>-3.9016443973910242</v>
      </c>
      <c r="D175" s="12">
        <v>-0.2176525145767764</v>
      </c>
      <c r="F175" s="12">
        <v>94.654088050314471</v>
      </c>
      <c r="G175" s="12">
        <v>160</v>
      </c>
      <c r="Y175" s="43">
        <v>92</v>
      </c>
      <c r="Z175" s="43">
        <v>76</v>
      </c>
    </row>
    <row r="176" spans="1:26" x14ac:dyDescent="0.25">
      <c r="A176" s="12">
        <v>152</v>
      </c>
      <c r="B176" s="12">
        <v>71.901644397391024</v>
      </c>
      <c r="C176" s="12">
        <v>-3.9016443973910242</v>
      </c>
      <c r="D176" s="12">
        <v>-0.2176525145767764</v>
      </c>
      <c r="F176" s="12">
        <v>95.283018867924525</v>
      </c>
      <c r="G176" s="12">
        <v>160</v>
      </c>
      <c r="Y176" s="43">
        <v>97</v>
      </c>
      <c r="Z176" s="43">
        <v>69</v>
      </c>
    </row>
    <row r="177" spans="1:26" x14ac:dyDescent="0.25">
      <c r="A177" s="12">
        <v>153</v>
      </c>
      <c r="B177" s="12">
        <v>77.63426109326015</v>
      </c>
      <c r="C177" s="12">
        <v>-8.6342610932601502</v>
      </c>
      <c r="D177" s="12">
        <v>-0.4816606658764544</v>
      </c>
      <c r="F177" s="12">
        <v>95.911949685534594</v>
      </c>
      <c r="G177" s="12">
        <v>160</v>
      </c>
      <c r="Y177" s="43">
        <v>91</v>
      </c>
      <c r="Z177" s="43">
        <v>68</v>
      </c>
    </row>
    <row r="178" spans="1:26" x14ac:dyDescent="0.25">
      <c r="A178" s="12">
        <v>154</v>
      </c>
      <c r="B178" s="12">
        <v>62.893246732453846</v>
      </c>
      <c r="C178" s="12">
        <v>-2.8932467324538464</v>
      </c>
      <c r="D178" s="12">
        <v>-0.16139923644264154</v>
      </c>
      <c r="F178" s="12">
        <v>96.540880503144649</v>
      </c>
      <c r="G178" s="12">
        <v>161</v>
      </c>
      <c r="Y178" s="43">
        <v>91</v>
      </c>
      <c r="Z178" s="43">
        <v>68</v>
      </c>
    </row>
    <row r="179" spans="1:26" x14ac:dyDescent="0.25">
      <c r="A179" s="12">
        <v>155</v>
      </c>
      <c r="B179" s="12">
        <v>73.539534881925064</v>
      </c>
      <c r="C179" s="12">
        <v>-5.5395348819250643</v>
      </c>
      <c r="D179" s="12">
        <v>-0.30902193378847831</v>
      </c>
      <c r="F179" s="12">
        <v>97.169811320754718</v>
      </c>
      <c r="G179" s="12">
        <v>161</v>
      </c>
      <c r="Y179" s="43">
        <v>90</v>
      </c>
      <c r="Z179" s="43">
        <v>68</v>
      </c>
    </row>
    <row r="180" spans="1:26" x14ac:dyDescent="0.25">
      <c r="A180" s="12">
        <v>156</v>
      </c>
      <c r="B180" s="12">
        <v>73.539534881925064</v>
      </c>
      <c r="C180" s="12">
        <v>-11.539534881925064</v>
      </c>
      <c r="D180" s="12">
        <v>-0.64373082943614568</v>
      </c>
      <c r="F180" s="12">
        <v>97.798742138364773</v>
      </c>
      <c r="G180" s="12">
        <v>162</v>
      </c>
      <c r="Y180" s="43">
        <v>90</v>
      </c>
      <c r="Z180" s="43">
        <v>68</v>
      </c>
    </row>
    <row r="181" spans="1:26" x14ac:dyDescent="0.25">
      <c r="A181" s="12">
        <v>157</v>
      </c>
      <c r="B181" s="12">
        <v>72.720589639658044</v>
      </c>
      <c r="C181" s="12">
        <v>-4.7205896396580442</v>
      </c>
      <c r="D181" s="12">
        <v>-0.26333722418262734</v>
      </c>
      <c r="F181" s="12">
        <v>98.427672955974842</v>
      </c>
      <c r="G181" s="12">
        <v>162</v>
      </c>
      <c r="Y181" s="43">
        <v>92</v>
      </c>
      <c r="Z181" s="43">
        <v>68</v>
      </c>
    </row>
    <row r="182" spans="1:26" x14ac:dyDescent="0.25">
      <c r="A182" s="12">
        <v>158</v>
      </c>
      <c r="B182" s="12">
        <v>48.152232371647536</v>
      </c>
      <c r="C182" s="12">
        <v>-0.15223237164753556</v>
      </c>
      <c r="D182" s="12">
        <v>-8.4922548326619839E-3</v>
      </c>
      <c r="F182" s="12">
        <v>99.056603773584911</v>
      </c>
      <c r="G182" s="12">
        <v>176</v>
      </c>
      <c r="Y182" s="43">
        <v>97</v>
      </c>
      <c r="Z182" s="43">
        <v>69</v>
      </c>
    </row>
    <row r="183" spans="1:26" ht="15.75" thickBot="1" x14ac:dyDescent="0.3">
      <c r="A183" s="13">
        <v>159</v>
      </c>
      <c r="B183" s="13">
        <v>77.63426109326015</v>
      </c>
      <c r="C183" s="13">
        <v>-8.6342610932601502</v>
      </c>
      <c r="D183" s="13">
        <v>-0.4816606658764544</v>
      </c>
      <c r="F183" s="13">
        <v>99.685534591194966</v>
      </c>
      <c r="G183" s="13">
        <v>200</v>
      </c>
      <c r="Y183" s="43">
        <v>90</v>
      </c>
      <c r="Z183" s="43">
        <v>70</v>
      </c>
    </row>
    <row r="184" spans="1:26" x14ac:dyDescent="0.25">
      <c r="Y184" s="43">
        <v>92</v>
      </c>
      <c r="Z184" s="43">
        <v>76</v>
      </c>
    </row>
    <row r="185" spans="1:26" x14ac:dyDescent="0.25">
      <c r="D185">
        <v>18</v>
      </c>
      <c r="E185">
        <f>(J345-J187)/D185</f>
        <v>0.30229423695375141</v>
      </c>
      <c r="Y185" s="43">
        <v>92</v>
      </c>
      <c r="Z185" s="43">
        <v>62</v>
      </c>
    </row>
    <row r="186" spans="1:26" x14ac:dyDescent="0.25">
      <c r="D186">
        <v>1</v>
      </c>
      <c r="E186">
        <f>J187</f>
        <v>-1.9429717109281099</v>
      </c>
      <c r="J186" t="s">
        <v>120</v>
      </c>
      <c r="Y186" s="43">
        <v>92</v>
      </c>
      <c r="Z186" s="43">
        <v>58</v>
      </c>
    </row>
    <row r="187" spans="1:26" x14ac:dyDescent="0.25">
      <c r="D187">
        <v>2</v>
      </c>
      <c r="E187">
        <f>E186+$E$185</f>
        <v>-1.6406774739743586</v>
      </c>
      <c r="J187">
        <v>-1.9429717109281099</v>
      </c>
      <c r="Y187" s="43">
        <v>90</v>
      </c>
      <c r="Z187" s="43">
        <v>68</v>
      </c>
    </row>
    <row r="188" spans="1:26" x14ac:dyDescent="0.25">
      <c r="D188">
        <v>3</v>
      </c>
      <c r="E188">
        <f t="shared" ref="E188:E204" si="0">E187+$E$185</f>
        <v>-1.3383832370206072</v>
      </c>
      <c r="J188">
        <v>-1.8679236067016936</v>
      </c>
      <c r="Y188" s="43">
        <v>92</v>
      </c>
      <c r="Z188" s="43">
        <v>62</v>
      </c>
    </row>
    <row r="189" spans="1:26" x14ac:dyDescent="0.25">
      <c r="D189">
        <v>4</v>
      </c>
      <c r="E189">
        <f t="shared" si="0"/>
        <v>-1.0360890000668559</v>
      </c>
      <c r="J189">
        <v>-1.8007644979891271</v>
      </c>
      <c r="Y189" s="43">
        <v>90</v>
      </c>
      <c r="Z189" s="43">
        <v>70</v>
      </c>
    </row>
    <row r="190" spans="1:26" x14ac:dyDescent="0.25">
      <c r="D190">
        <v>5</v>
      </c>
      <c r="E190">
        <f t="shared" si="0"/>
        <v>-0.73379476311310454</v>
      </c>
      <c r="J190">
        <v>-1.8007644979891271</v>
      </c>
      <c r="Y190" s="43">
        <v>90</v>
      </c>
      <c r="Z190" s="43">
        <v>68</v>
      </c>
    </row>
    <row r="191" spans="1:26" x14ac:dyDescent="0.25">
      <c r="D191">
        <v>6</v>
      </c>
      <c r="E191">
        <f t="shared" si="0"/>
        <v>-0.43150052615935314</v>
      </c>
      <c r="J191">
        <v>-1.5439144797250217</v>
      </c>
      <c r="Y191" s="43">
        <v>90</v>
      </c>
      <c r="Z191" s="43">
        <v>68</v>
      </c>
    </row>
    <row r="192" spans="1:26" x14ac:dyDescent="0.25">
      <c r="D192">
        <v>7</v>
      </c>
      <c r="E192">
        <f t="shared" si="0"/>
        <v>-0.12920628920560173</v>
      </c>
      <c r="J192">
        <v>-1.5439144797250217</v>
      </c>
      <c r="Y192" s="43">
        <v>92</v>
      </c>
      <c r="Z192" s="43">
        <v>68</v>
      </c>
    </row>
    <row r="193" spans="1:26" x14ac:dyDescent="0.25">
      <c r="D193">
        <v>8</v>
      </c>
      <c r="E193">
        <f t="shared" si="0"/>
        <v>0.17308794774814967</v>
      </c>
      <c r="J193">
        <v>-1.5439144797250217</v>
      </c>
      <c r="Y193" s="43">
        <v>91</v>
      </c>
      <c r="Z193" s="43">
        <v>68</v>
      </c>
    </row>
    <row r="194" spans="1:26" x14ac:dyDescent="0.25">
      <c r="D194">
        <v>9</v>
      </c>
      <c r="E194">
        <f t="shared" si="0"/>
        <v>0.47538218470190108</v>
      </c>
      <c r="J194">
        <v>-1.5367563466894492</v>
      </c>
      <c r="Y194" s="43">
        <v>90</v>
      </c>
      <c r="Z194" s="43">
        <v>68</v>
      </c>
    </row>
    <row r="195" spans="1:26" x14ac:dyDescent="0.25">
      <c r="D195">
        <v>10</v>
      </c>
      <c r="E195">
        <f t="shared" si="0"/>
        <v>0.77767642165565243</v>
      </c>
      <c r="J195">
        <v>-1.4300025368781786</v>
      </c>
      <c r="Y195" s="43">
        <v>90</v>
      </c>
      <c r="Z195" s="43">
        <v>68</v>
      </c>
    </row>
    <row r="196" spans="1:26" x14ac:dyDescent="0.25">
      <c r="D196">
        <v>11</v>
      </c>
      <c r="E196">
        <f t="shared" si="0"/>
        <v>1.0799706586094038</v>
      </c>
      <c r="J196">
        <v>-1.4300025368781786</v>
      </c>
      <c r="Y196" s="43">
        <v>97</v>
      </c>
      <c r="Z196" s="43">
        <v>69</v>
      </c>
    </row>
    <row r="197" spans="1:26" x14ac:dyDescent="0.25">
      <c r="D197">
        <v>12</v>
      </c>
      <c r="E197">
        <f t="shared" si="0"/>
        <v>1.3822648955631551</v>
      </c>
      <c r="J197">
        <v>-1.3981656311506145</v>
      </c>
      <c r="Y197" s="43">
        <v>79</v>
      </c>
      <c r="Z197" s="43">
        <v>60</v>
      </c>
    </row>
    <row r="198" spans="1:26" x14ac:dyDescent="0.25">
      <c r="D198">
        <v>13</v>
      </c>
      <c r="E198">
        <f t="shared" si="0"/>
        <v>1.6845591325169065</v>
      </c>
      <c r="J198">
        <v>-1.3981656311506145</v>
      </c>
      <c r="Y198" s="43">
        <v>92</v>
      </c>
      <c r="Z198" s="43">
        <v>68</v>
      </c>
    </row>
    <row r="199" spans="1:26" x14ac:dyDescent="0.25">
      <c r="D199">
        <v>14</v>
      </c>
      <c r="E199">
        <f t="shared" si="0"/>
        <v>1.9868533694706578</v>
      </c>
      <c r="J199">
        <v>-1.3981656311506145</v>
      </c>
      <c r="Y199" s="43">
        <v>92</v>
      </c>
      <c r="Z199" s="43">
        <v>62</v>
      </c>
    </row>
    <row r="200" spans="1:26" x14ac:dyDescent="0.25">
      <c r="D200">
        <v>15</v>
      </c>
      <c r="E200">
        <f t="shared" si="0"/>
        <v>2.2891476064244092</v>
      </c>
      <c r="J200">
        <v>-1.3981656311506145</v>
      </c>
      <c r="Y200" s="43">
        <v>91</v>
      </c>
      <c r="Z200" s="43">
        <v>68</v>
      </c>
    </row>
    <row r="201" spans="1:26" x14ac:dyDescent="0.25">
      <c r="D201">
        <v>16</v>
      </c>
      <c r="E201">
        <f t="shared" si="0"/>
        <v>2.5914418433781607</v>
      </c>
      <c r="J201">
        <v>-0.8668700932012573</v>
      </c>
      <c r="Y201" s="43">
        <v>61</v>
      </c>
      <c r="Z201" s="43">
        <v>48</v>
      </c>
    </row>
    <row r="202" spans="1:26" x14ac:dyDescent="0.25">
      <c r="D202">
        <v>17</v>
      </c>
      <c r="E202">
        <f t="shared" si="0"/>
        <v>2.8937360803319123</v>
      </c>
      <c r="J202">
        <v>-0.85242262698740279</v>
      </c>
      <c r="Y202" s="43">
        <v>97</v>
      </c>
      <c r="Z202" s="43">
        <v>69</v>
      </c>
    </row>
    <row r="203" spans="1:26" x14ac:dyDescent="0.25">
      <c r="D203">
        <v>18</v>
      </c>
      <c r="E203">
        <f t="shared" si="0"/>
        <v>3.1960303172856639</v>
      </c>
      <c r="J203">
        <v>-0.78700616690355485</v>
      </c>
    </row>
    <row r="204" spans="1:26" ht="15.75" thickBot="1" x14ac:dyDescent="0.3">
      <c r="D204">
        <v>19</v>
      </c>
      <c r="E204">
        <f t="shared" si="0"/>
        <v>3.4983245542394155</v>
      </c>
      <c r="J204">
        <v>-0.78700616690355485</v>
      </c>
    </row>
    <row r="205" spans="1:26" x14ac:dyDescent="0.25">
      <c r="A205" s="14" t="s">
        <v>157</v>
      </c>
      <c r="B205" s="14" t="s">
        <v>159</v>
      </c>
      <c r="J205">
        <v>-0.78700616690355485</v>
      </c>
    </row>
    <row r="206" spans="1:26" x14ac:dyDescent="0.25">
      <c r="A206" s="42">
        <v>-1.9429717109281099</v>
      </c>
      <c r="B206" s="12">
        <v>1</v>
      </c>
      <c r="J206">
        <v>-0.78700616690355485</v>
      </c>
    </row>
    <row r="207" spans="1:26" x14ac:dyDescent="0.25">
      <c r="A207" s="42">
        <v>-1.6406774739743586</v>
      </c>
      <c r="B207" s="12">
        <v>3</v>
      </c>
      <c r="J207">
        <v>-0.78700616690355485</v>
      </c>
    </row>
    <row r="208" spans="1:26" x14ac:dyDescent="0.25">
      <c r="A208" s="42">
        <v>-1.3383832370206072</v>
      </c>
      <c r="B208" s="12">
        <v>10</v>
      </c>
      <c r="J208">
        <v>-0.76105320777570085</v>
      </c>
    </row>
    <row r="209" spans="1:10" x14ac:dyDescent="0.25">
      <c r="A209" s="42">
        <v>-1.0360890000668559</v>
      </c>
      <c r="B209" s="12">
        <v>0</v>
      </c>
      <c r="J209">
        <v>-0.76105320777570085</v>
      </c>
    </row>
    <row r="210" spans="1:10" x14ac:dyDescent="0.25">
      <c r="A210" s="42">
        <v>-0.73379476311310454</v>
      </c>
      <c r="B210" s="12">
        <v>9</v>
      </c>
      <c r="J210">
        <v>-0.64373082943614568</v>
      </c>
    </row>
    <row r="211" spans="1:10" x14ac:dyDescent="0.25">
      <c r="A211" s="42">
        <v>-0.43150052615935314</v>
      </c>
      <c r="B211" s="12">
        <v>33</v>
      </c>
      <c r="J211">
        <v>-0.64373082943614568</v>
      </c>
    </row>
    <row r="212" spans="1:10" x14ac:dyDescent="0.25">
      <c r="A212" s="42">
        <v>-0.12920628920560173</v>
      </c>
      <c r="B212" s="12">
        <v>30</v>
      </c>
      <c r="J212">
        <v>-0.64373082943614568</v>
      </c>
    </row>
    <row r="213" spans="1:10" x14ac:dyDescent="0.25">
      <c r="A213" s="42">
        <v>0.17308794774814967</v>
      </c>
      <c r="B213" s="12">
        <v>31</v>
      </c>
      <c r="J213">
        <v>-0.64373082943614568</v>
      </c>
    </row>
    <row r="214" spans="1:10" x14ac:dyDescent="0.25">
      <c r="A214" s="42">
        <v>0.30229423695375141</v>
      </c>
      <c r="B214" s="12">
        <v>0</v>
      </c>
      <c r="J214">
        <v>-0.64373082943614568</v>
      </c>
    </row>
    <row r="215" spans="1:10" x14ac:dyDescent="0.25">
      <c r="A215" s="42">
        <v>0.47538218470190108</v>
      </c>
      <c r="B215" s="12">
        <v>7</v>
      </c>
      <c r="J215">
        <v>-0.64373082943614568</v>
      </c>
    </row>
    <row r="216" spans="1:10" x14ac:dyDescent="0.25">
      <c r="A216" s="42">
        <v>0.77767642165565243</v>
      </c>
      <c r="B216" s="12">
        <v>9</v>
      </c>
      <c r="J216">
        <v>-0.64172578052200624</v>
      </c>
    </row>
    <row r="217" spans="1:10" x14ac:dyDescent="0.25">
      <c r="A217" s="42">
        <v>1.0799706586094038</v>
      </c>
      <c r="B217" s="12">
        <v>5</v>
      </c>
      <c r="J217">
        <v>-0.64172578052200624</v>
      </c>
    </row>
    <row r="218" spans="1:10" x14ac:dyDescent="0.25">
      <c r="A218" s="42">
        <v>1.3822648955631551</v>
      </c>
      <c r="B218" s="12">
        <v>8</v>
      </c>
      <c r="J218">
        <v>-0.61048853713000906</v>
      </c>
    </row>
    <row r="219" spans="1:10" x14ac:dyDescent="0.25">
      <c r="A219" s="42">
        <v>1.6845591325169065</v>
      </c>
      <c r="B219" s="12">
        <v>3</v>
      </c>
      <c r="J219">
        <v>-0.58313019142358324</v>
      </c>
    </row>
    <row r="220" spans="1:10" x14ac:dyDescent="0.25">
      <c r="A220" s="42">
        <v>1.9868533694706578</v>
      </c>
      <c r="B220" s="12">
        <v>4</v>
      </c>
      <c r="J220">
        <v>-0.56386690313844334</v>
      </c>
    </row>
    <row r="221" spans="1:10" x14ac:dyDescent="0.25">
      <c r="A221" s="42">
        <v>2.2891476064244092</v>
      </c>
      <c r="B221" s="12">
        <v>0</v>
      </c>
      <c r="J221">
        <v>-0.56386690313844334</v>
      </c>
    </row>
    <row r="222" spans="1:10" x14ac:dyDescent="0.25">
      <c r="A222" s="42">
        <v>2.5914418433781607</v>
      </c>
      <c r="B222" s="12">
        <v>1</v>
      </c>
      <c r="J222">
        <v>-0.56386690313844334</v>
      </c>
    </row>
    <row r="223" spans="1:10" x14ac:dyDescent="0.25">
      <c r="A223" s="42">
        <v>2.8937360803319123</v>
      </c>
      <c r="B223" s="12">
        <v>0</v>
      </c>
      <c r="J223">
        <v>-0.56386690313844334</v>
      </c>
    </row>
    <row r="224" spans="1:10" x14ac:dyDescent="0.25">
      <c r="A224" s="42">
        <v>3.1960303172856639</v>
      </c>
      <c r="B224" s="12">
        <v>1</v>
      </c>
      <c r="J224">
        <v>-0.56386690313844334</v>
      </c>
    </row>
    <row r="225" spans="1:10" x14ac:dyDescent="0.25">
      <c r="A225" s="42">
        <v>3.4983245542394155</v>
      </c>
      <c r="B225" s="12">
        <v>4</v>
      </c>
      <c r="J225">
        <v>-0.53744548181773222</v>
      </c>
    </row>
    <row r="226" spans="1:10" ht="15.75" thickBot="1" x14ac:dyDescent="0.3">
      <c r="A226" s="13" t="s">
        <v>158</v>
      </c>
      <c r="B226" s="13">
        <v>0</v>
      </c>
      <c r="J226">
        <v>-0.4816606658764544</v>
      </c>
    </row>
    <row r="227" spans="1:10" x14ac:dyDescent="0.25">
      <c r="J227">
        <v>-0.4816606658764544</v>
      </c>
    </row>
    <row r="228" spans="1:10" x14ac:dyDescent="0.25">
      <c r="J228">
        <v>-0.4816606658764544</v>
      </c>
    </row>
    <row r="229" spans="1:10" x14ac:dyDescent="0.25">
      <c r="J229">
        <v>-0.4816606658764544</v>
      </c>
    </row>
    <row r="230" spans="1:10" x14ac:dyDescent="0.25">
      <c r="J230">
        <v>-0.4816606658764544</v>
      </c>
    </row>
    <row r="231" spans="1:10" x14ac:dyDescent="0.25">
      <c r="J231">
        <v>-0.4816606658764544</v>
      </c>
    </row>
    <row r="232" spans="1:10" x14ac:dyDescent="0.25">
      <c r="J232">
        <v>-0.4816606658764544</v>
      </c>
    </row>
    <row r="233" spans="1:10" x14ac:dyDescent="0.25">
      <c r="J233">
        <v>-0.4816606658764544</v>
      </c>
    </row>
    <row r="234" spans="1:10" x14ac:dyDescent="0.25">
      <c r="J234">
        <v>-0.4816606658764544</v>
      </c>
    </row>
    <row r="235" spans="1:10" x14ac:dyDescent="0.25">
      <c r="J235">
        <v>-0.4816606658764544</v>
      </c>
    </row>
    <row r="236" spans="1:10" x14ac:dyDescent="0.25">
      <c r="J236">
        <v>-0.47156055954102744</v>
      </c>
    </row>
    <row r="237" spans="1:10" x14ac:dyDescent="0.25">
      <c r="J237">
        <v>-0.47156055954102744</v>
      </c>
    </row>
    <row r="238" spans="1:10" x14ac:dyDescent="0.25">
      <c r="J238">
        <v>-0.47156055954102744</v>
      </c>
    </row>
    <row r="239" spans="1:10" x14ac:dyDescent="0.25">
      <c r="J239">
        <v>-0.47156055954102744</v>
      </c>
    </row>
    <row r="240" spans="1:10" x14ac:dyDescent="0.25">
      <c r="J240">
        <v>-0.47156055954102744</v>
      </c>
    </row>
    <row r="241" spans="10:10" x14ac:dyDescent="0.25">
      <c r="J241">
        <v>-0.47156055954102744</v>
      </c>
    </row>
    <row r="242" spans="10:10" x14ac:dyDescent="0.25">
      <c r="J242">
        <v>-0.47156055954102744</v>
      </c>
    </row>
    <row r="243" spans="10:10" x14ac:dyDescent="0.25">
      <c r="J243">
        <v>-0.34072763937333167</v>
      </c>
    </row>
    <row r="244" spans="10:10" x14ac:dyDescent="0.25">
      <c r="J244">
        <v>-0.34072763937333167</v>
      </c>
    </row>
    <row r="245" spans="10:10" x14ac:dyDescent="0.25">
      <c r="J245">
        <v>-0.34072763937333167</v>
      </c>
    </row>
    <row r="246" spans="10:10" x14ac:dyDescent="0.25">
      <c r="J246">
        <v>-0.34072763937333167</v>
      </c>
    </row>
    <row r="247" spans="10:10" x14ac:dyDescent="0.25">
      <c r="J247">
        <v>-0.32768555973804969</v>
      </c>
    </row>
    <row r="248" spans="10:10" x14ac:dyDescent="0.25">
      <c r="J248">
        <v>-0.30902193378847831</v>
      </c>
    </row>
    <row r="249" spans="10:10" x14ac:dyDescent="0.25">
      <c r="J249">
        <v>-0.30902193378847831</v>
      </c>
    </row>
    <row r="250" spans="10:10" x14ac:dyDescent="0.25">
      <c r="J250">
        <v>-0.30902193378847831</v>
      </c>
    </row>
    <row r="251" spans="10:10" x14ac:dyDescent="0.25">
      <c r="J251">
        <v>-0.26333722418262734</v>
      </c>
    </row>
    <row r="252" spans="10:10" x14ac:dyDescent="0.25">
      <c r="J252">
        <v>-0.26333722418262734</v>
      </c>
    </row>
    <row r="253" spans="10:10" x14ac:dyDescent="0.25">
      <c r="J253">
        <v>-0.26333722418262734</v>
      </c>
    </row>
    <row r="254" spans="10:10" x14ac:dyDescent="0.25">
      <c r="J254">
        <v>-0.26333722418262734</v>
      </c>
    </row>
    <row r="255" spans="10:10" x14ac:dyDescent="0.25">
      <c r="J255">
        <v>-0.26333722418262734</v>
      </c>
    </row>
    <row r="256" spans="10:10" x14ac:dyDescent="0.25">
      <c r="J256">
        <v>-0.25898986430419974</v>
      </c>
    </row>
    <row r="257" spans="10:10" x14ac:dyDescent="0.25">
      <c r="J257">
        <v>-0.25898986430419974</v>
      </c>
    </row>
    <row r="258" spans="10:10" x14ac:dyDescent="0.25">
      <c r="J258">
        <v>-0.25898986430419974</v>
      </c>
    </row>
    <row r="259" spans="10:10" x14ac:dyDescent="0.25">
      <c r="J259">
        <v>-0.25898986430419974</v>
      </c>
    </row>
    <row r="260" spans="10:10" x14ac:dyDescent="0.25">
      <c r="J260">
        <v>-0.25898986430419974</v>
      </c>
    </row>
    <row r="261" spans="10:10" x14ac:dyDescent="0.25">
      <c r="J261">
        <v>-0.2176525145767764</v>
      </c>
    </row>
    <row r="262" spans="10:10" x14ac:dyDescent="0.25">
      <c r="J262">
        <v>-0.2176525145767764</v>
      </c>
    </row>
    <row r="263" spans="10:10" x14ac:dyDescent="0.25">
      <c r="J263">
        <v>-0.2176525145767764</v>
      </c>
    </row>
    <row r="264" spans="10:10" x14ac:dyDescent="0.25">
      <c r="J264">
        <v>-0.2176525145767764</v>
      </c>
    </row>
    <row r="265" spans="10:10" x14ac:dyDescent="0.25">
      <c r="J265">
        <v>-0.2176525145767764</v>
      </c>
    </row>
    <row r="266" spans="10:10" x14ac:dyDescent="0.25">
      <c r="J266">
        <v>-0.2176525145767764</v>
      </c>
    </row>
    <row r="267" spans="10:10" x14ac:dyDescent="0.25">
      <c r="J267">
        <v>-0.2176525145767764</v>
      </c>
    </row>
    <row r="268" spans="10:10" x14ac:dyDescent="0.25">
      <c r="J268">
        <v>-0.2176525145767764</v>
      </c>
    </row>
    <row r="269" spans="10:10" x14ac:dyDescent="0.25">
      <c r="J269">
        <v>-0.16139923644264154</v>
      </c>
    </row>
    <row r="270" spans="10:10" x14ac:dyDescent="0.25">
      <c r="J270">
        <v>-0.13732012608621702</v>
      </c>
    </row>
    <row r="271" spans="10:10" x14ac:dyDescent="0.25">
      <c r="J271">
        <v>-0.13732012608621702</v>
      </c>
    </row>
    <row r="272" spans="10:10" x14ac:dyDescent="0.25">
      <c r="J272">
        <v>-0.13732012608621702</v>
      </c>
    </row>
    <row r="273" spans="10:10" x14ac:dyDescent="0.25">
      <c r="J273">
        <v>-0.12722001975079006</v>
      </c>
    </row>
    <row r="274" spans="10:10" x14ac:dyDescent="0.25">
      <c r="J274">
        <v>-0.12722001975079006</v>
      </c>
    </row>
    <row r="275" spans="10:10" x14ac:dyDescent="0.25">
      <c r="J275">
        <v>-0.12722001975079006</v>
      </c>
    </row>
    <row r="276" spans="10:10" x14ac:dyDescent="0.25">
      <c r="J276">
        <v>-0.12722001975079006</v>
      </c>
    </row>
    <row r="277" spans="10:10" x14ac:dyDescent="0.25">
      <c r="J277">
        <v>-0.10608288269422061</v>
      </c>
    </row>
    <row r="278" spans="10:10" x14ac:dyDescent="0.25">
      <c r="J278">
        <v>-0.10608288269422061</v>
      </c>
    </row>
    <row r="279" spans="10:10" x14ac:dyDescent="0.25">
      <c r="J279">
        <v>-9.8325087323080956E-2</v>
      </c>
    </row>
    <row r="280" spans="10:10" x14ac:dyDescent="0.25">
      <c r="J280">
        <v>-9.8325087323080956E-2</v>
      </c>
    </row>
    <row r="281" spans="10:10" x14ac:dyDescent="0.25">
      <c r="J281">
        <v>-9.8325087323080956E-2</v>
      </c>
    </row>
    <row r="282" spans="10:10" x14ac:dyDescent="0.25">
      <c r="J282">
        <v>-9.8325087323080956E-2</v>
      </c>
    </row>
    <row r="283" spans="10:10" x14ac:dyDescent="0.25">
      <c r="J283">
        <v>-9.8325087323080956E-2</v>
      </c>
    </row>
    <row r="284" spans="10:10" x14ac:dyDescent="0.25">
      <c r="J284">
        <v>-9.8325087323080956E-2</v>
      </c>
    </row>
    <row r="285" spans="10:10" x14ac:dyDescent="0.25">
      <c r="J285">
        <v>-8.200377233779689E-2</v>
      </c>
    </row>
    <row r="286" spans="10:10" x14ac:dyDescent="0.25">
      <c r="J286">
        <v>-8.4922548326619839E-3</v>
      </c>
    </row>
    <row r="287" spans="10:10" x14ac:dyDescent="0.25">
      <c r="J287">
        <v>1.8528828823617203E-2</v>
      </c>
    </row>
    <row r="288" spans="10:10" x14ac:dyDescent="0.25">
      <c r="J288">
        <v>1.8528828823617203E-2</v>
      </c>
    </row>
    <row r="289" spans="10:10" x14ac:dyDescent="0.25">
      <c r="J289">
        <v>1.8528828823617203E-2</v>
      </c>
    </row>
    <row r="290" spans="10:10" x14ac:dyDescent="0.25">
      <c r="J290">
        <v>1.8528828823617203E-2</v>
      </c>
    </row>
    <row r="291" spans="10:10" x14ac:dyDescent="0.25">
      <c r="J291">
        <v>1.8528828823617203E-2</v>
      </c>
    </row>
    <row r="292" spans="10:10" x14ac:dyDescent="0.25">
      <c r="J292">
        <v>1.8528828823617203E-2</v>
      </c>
    </row>
    <row r="293" spans="10:10" x14ac:dyDescent="0.25">
      <c r="J293">
        <v>2.3813113087759564E-2</v>
      </c>
    </row>
    <row r="294" spans="10:10" x14ac:dyDescent="0.25">
      <c r="J294">
        <v>2.9565859544758911E-2</v>
      </c>
    </row>
    <row r="295" spans="10:10" x14ac:dyDescent="0.25">
      <c r="J295">
        <v>2.9565859544758911E-2</v>
      </c>
    </row>
    <row r="296" spans="10:10" x14ac:dyDescent="0.25">
      <c r="J296">
        <v>2.9565859544758911E-2</v>
      </c>
    </row>
    <row r="297" spans="10:10" x14ac:dyDescent="0.25">
      <c r="J297">
        <v>2.9565859544758911E-2</v>
      </c>
    </row>
    <row r="298" spans="10:10" x14ac:dyDescent="0.25">
      <c r="J298">
        <v>0.13725659374174487</v>
      </c>
    </row>
    <row r="299" spans="10:10" x14ac:dyDescent="0.25">
      <c r="J299">
        <v>0.13725659374174487</v>
      </c>
    </row>
    <row r="300" spans="10:10" x14ac:dyDescent="0.25">
      <c r="J300">
        <v>0.13725659374174487</v>
      </c>
    </row>
    <row r="301" spans="10:10" x14ac:dyDescent="0.25">
      <c r="J301">
        <v>0.13725659374174487</v>
      </c>
    </row>
    <row r="302" spans="10:10" x14ac:dyDescent="0.25">
      <c r="J302">
        <v>0.13725659374174487</v>
      </c>
    </row>
    <row r="303" spans="10:10" x14ac:dyDescent="0.25">
      <c r="J303">
        <v>0.14160395362017247</v>
      </c>
    </row>
    <row r="304" spans="10:10" x14ac:dyDescent="0.25">
      <c r="J304">
        <v>0.30273719279414907</v>
      </c>
    </row>
    <row r="305" spans="10:10" x14ac:dyDescent="0.25">
      <c r="J305">
        <v>0.31096345035814488</v>
      </c>
    </row>
    <row r="306" spans="10:10" x14ac:dyDescent="0.25">
      <c r="J306">
        <v>0.31096345035814488</v>
      </c>
    </row>
    <row r="307" spans="10:10" x14ac:dyDescent="0.25">
      <c r="J307">
        <v>0.31096345035814488</v>
      </c>
    </row>
    <row r="308" spans="10:10" x14ac:dyDescent="0.25">
      <c r="J308">
        <v>0.39892243407713557</v>
      </c>
    </row>
    <row r="309" spans="10:10" x14ac:dyDescent="0.25">
      <c r="J309">
        <v>0.41042792699113501</v>
      </c>
    </row>
    <row r="310" spans="10:10" x14ac:dyDescent="0.25">
      <c r="J310">
        <v>0.41042792699113501</v>
      </c>
    </row>
    <row r="311" spans="10:10" x14ac:dyDescent="0.25">
      <c r="J311">
        <v>0.65376740342710049</v>
      </c>
    </row>
    <row r="312" spans="10:10" x14ac:dyDescent="0.25">
      <c r="J312">
        <v>0.69945211303295152</v>
      </c>
    </row>
    <row r="313" spans="10:10" x14ac:dyDescent="0.25">
      <c r="J313">
        <v>0.70908375717552063</v>
      </c>
    </row>
    <row r="314" spans="10:10" x14ac:dyDescent="0.25">
      <c r="J314">
        <v>0.70908375717552063</v>
      </c>
    </row>
    <row r="315" spans="10:10" x14ac:dyDescent="0.25">
      <c r="J315">
        <v>0.70908375717552063</v>
      </c>
    </row>
    <row r="316" spans="10:10" x14ac:dyDescent="0.25">
      <c r="J316">
        <v>0.70908375717552063</v>
      </c>
    </row>
    <row r="317" spans="10:10" x14ac:dyDescent="0.25">
      <c r="J317">
        <v>0.70955221936837842</v>
      </c>
    </row>
    <row r="318" spans="10:10" x14ac:dyDescent="0.25">
      <c r="J318">
        <v>0.75724197788836811</v>
      </c>
    </row>
    <row r="319" spans="10:10" x14ac:dyDescent="0.25">
      <c r="J319">
        <v>0.75724197788836811</v>
      </c>
    </row>
    <row r="320" spans="10:10" x14ac:dyDescent="0.25">
      <c r="J320">
        <v>0.80092163858008036</v>
      </c>
    </row>
    <row r="321" spans="10:10" x14ac:dyDescent="0.25">
      <c r="J321">
        <v>0.80092163858008036</v>
      </c>
    </row>
    <row r="322" spans="10:10" x14ac:dyDescent="0.25">
      <c r="J322">
        <v>0.81102174491550727</v>
      </c>
    </row>
    <row r="323" spans="10:10" x14ac:dyDescent="0.25">
      <c r="J323">
        <v>0.99094981018176442</v>
      </c>
    </row>
    <row r="324" spans="10:10" x14ac:dyDescent="0.25">
      <c r="J324">
        <v>1.0625874789154701</v>
      </c>
    </row>
    <row r="325" spans="10:10" x14ac:dyDescent="0.25">
      <c r="J325">
        <v>1.1794413950621683</v>
      </c>
    </row>
    <row r="326" spans="10:10" x14ac:dyDescent="0.25">
      <c r="J326">
        <v>1.2698738898881539</v>
      </c>
    </row>
    <row r="327" spans="10:10" x14ac:dyDescent="0.25">
      <c r="J327">
        <v>1.2698738898881539</v>
      </c>
    </row>
    <row r="328" spans="10:10" x14ac:dyDescent="0.25">
      <c r="J328">
        <v>1.3135535505798654</v>
      </c>
    </row>
    <row r="329" spans="10:10" x14ac:dyDescent="0.25">
      <c r="J329">
        <v>1.3135535505798654</v>
      </c>
    </row>
    <row r="330" spans="10:10" x14ac:dyDescent="0.25">
      <c r="J330">
        <v>1.3135535505798654</v>
      </c>
    </row>
    <row r="331" spans="10:10" x14ac:dyDescent="0.25">
      <c r="J331">
        <v>1.3587697979928592</v>
      </c>
    </row>
    <row r="332" spans="10:10" x14ac:dyDescent="0.25">
      <c r="J332">
        <v>1.3587697979928592</v>
      </c>
    </row>
    <row r="333" spans="10:10" x14ac:dyDescent="0.25">
      <c r="J333">
        <v>1.5463244584875468</v>
      </c>
    </row>
    <row r="334" spans="10:10" x14ac:dyDescent="0.25">
      <c r="J334">
        <v>1.5463244584875468</v>
      </c>
    </row>
    <row r="335" spans="10:10" x14ac:dyDescent="0.25">
      <c r="J335">
        <v>1.5463244584875468</v>
      </c>
    </row>
    <row r="336" spans="10:10" x14ac:dyDescent="0.25">
      <c r="J336">
        <v>1.8714017099926443</v>
      </c>
    </row>
    <row r="337" spans="10:10" x14ac:dyDescent="0.25">
      <c r="J337">
        <v>1.8714017099926443</v>
      </c>
    </row>
    <row r="338" spans="10:10" x14ac:dyDescent="0.25">
      <c r="J338">
        <v>1.9002966424203533</v>
      </c>
    </row>
    <row r="339" spans="10:10" x14ac:dyDescent="0.25">
      <c r="J339">
        <v>1.9257811393553506</v>
      </c>
    </row>
    <row r="340" spans="10:10" x14ac:dyDescent="0.25">
      <c r="J340">
        <v>2.5846303621224007</v>
      </c>
    </row>
    <row r="341" spans="10:10" x14ac:dyDescent="0.25">
      <c r="J341">
        <v>2.9886346155394841</v>
      </c>
    </row>
    <row r="342" spans="10:10" x14ac:dyDescent="0.25">
      <c r="J342">
        <v>3.1987317996693143</v>
      </c>
    </row>
    <row r="343" spans="10:10" x14ac:dyDescent="0.25">
      <c r="J343">
        <v>3.1987317996693143</v>
      </c>
    </row>
    <row r="344" spans="10:10" x14ac:dyDescent="0.25">
      <c r="J344">
        <v>3.4983245542394155</v>
      </c>
    </row>
    <row r="345" spans="10:10" x14ac:dyDescent="0.25">
      <c r="J345">
        <v>3.4983245542394155</v>
      </c>
    </row>
  </sheetData>
  <sortState xmlns:xlrd2="http://schemas.microsoft.com/office/spreadsheetml/2017/richdata2" ref="A206:A225">
    <sortCondition ref="A206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4"/>
  <sheetViews>
    <sheetView workbookViewId="0">
      <selection activeCell="I21" sqref="I21"/>
    </sheetView>
  </sheetViews>
  <sheetFormatPr defaultRowHeight="15" x14ac:dyDescent="0.25"/>
  <cols>
    <col min="1" max="1" width="19.140625" customWidth="1"/>
    <col min="4" max="4" width="10.140625" customWidth="1"/>
    <col min="5" max="5" width="12.28515625" customWidth="1"/>
    <col min="6" max="6" width="11.42578125" customWidth="1"/>
    <col min="7" max="7" width="17.140625" customWidth="1"/>
    <col min="9" max="9" width="26.42578125" customWidth="1"/>
  </cols>
  <sheetData>
    <row r="1" spans="1:10" x14ac:dyDescent="0.25">
      <c r="A1" t="s">
        <v>144</v>
      </c>
    </row>
    <row r="2" spans="1:10" x14ac:dyDescent="0.25">
      <c r="I2" t="s">
        <v>152</v>
      </c>
      <c r="J2">
        <f>B11/B14</f>
        <v>0.65606018971819557</v>
      </c>
    </row>
    <row r="3" spans="1:10" ht="15.75" thickBot="1" x14ac:dyDescent="0.3">
      <c r="A3" t="s">
        <v>145</v>
      </c>
    </row>
    <row r="4" spans="1:10" x14ac:dyDescent="0.25">
      <c r="A4" s="14" t="s">
        <v>146</v>
      </c>
      <c r="B4" s="14" t="s">
        <v>92</v>
      </c>
      <c r="C4" s="14" t="s">
        <v>91</v>
      </c>
      <c r="D4" s="14" t="s">
        <v>80</v>
      </c>
      <c r="E4" s="14" t="s">
        <v>147</v>
      </c>
    </row>
    <row r="5" spans="1:10" x14ac:dyDescent="0.25">
      <c r="A5" s="12" t="s">
        <v>136</v>
      </c>
      <c r="B5" s="12">
        <v>159</v>
      </c>
      <c r="C5" s="12">
        <v>205</v>
      </c>
      <c r="D5" s="12">
        <v>1.2893081761006289</v>
      </c>
      <c r="E5" s="12">
        <v>0.23222673354032317</v>
      </c>
    </row>
    <row r="6" spans="1:10" ht="15.75" thickBot="1" x14ac:dyDescent="0.3">
      <c r="A6" s="13" t="s">
        <v>79</v>
      </c>
      <c r="B6" s="13">
        <v>159</v>
      </c>
      <c r="C6" s="13">
        <v>1819871</v>
      </c>
      <c r="D6" s="13">
        <v>11445.729559748428</v>
      </c>
      <c r="E6" s="13">
        <v>34549193.451715641</v>
      </c>
    </row>
    <row r="9" spans="1:10" ht="15.75" thickBot="1" x14ac:dyDescent="0.3">
      <c r="A9" t="s">
        <v>99</v>
      </c>
    </row>
    <row r="10" spans="1:10" x14ac:dyDescent="0.25">
      <c r="A10" s="14" t="s">
        <v>148</v>
      </c>
      <c r="B10" s="14" t="s">
        <v>105</v>
      </c>
      <c r="C10" s="14" t="s">
        <v>104</v>
      </c>
      <c r="D10" s="14" t="s">
        <v>106</v>
      </c>
      <c r="E10" s="14" t="s">
        <v>107</v>
      </c>
      <c r="F10" s="14" t="s">
        <v>111</v>
      </c>
      <c r="G10" s="14" t="s">
        <v>149</v>
      </c>
    </row>
    <row r="11" spans="1:10" x14ac:dyDescent="0.25">
      <c r="A11" s="12" t="s">
        <v>150</v>
      </c>
      <c r="B11" s="12">
        <v>10412529407.40873</v>
      </c>
      <c r="C11" s="12">
        <v>1</v>
      </c>
      <c r="D11" s="12">
        <v>10412529407.40873</v>
      </c>
      <c r="E11" s="12">
        <v>602.7654076481806</v>
      </c>
      <c r="F11" s="12">
        <v>3.2121417981250319E-75</v>
      </c>
      <c r="G11" s="12">
        <v>3.8710543565729081</v>
      </c>
    </row>
    <row r="12" spans="1:10" x14ac:dyDescent="0.25">
      <c r="A12" s="12" t="s">
        <v>151</v>
      </c>
      <c r="B12" s="12">
        <v>5458772602.062892</v>
      </c>
      <c r="C12" s="12">
        <v>316</v>
      </c>
      <c r="D12" s="12">
        <v>17274596.841971178</v>
      </c>
      <c r="E12" s="12"/>
      <c r="F12" s="12"/>
      <c r="G12" s="12"/>
    </row>
    <row r="13" spans="1:10" x14ac:dyDescent="0.25">
      <c r="A13" s="12"/>
      <c r="B13" s="12"/>
      <c r="C13" s="12"/>
      <c r="D13" s="12"/>
      <c r="E13" s="12"/>
      <c r="F13" s="12"/>
      <c r="G13" s="12"/>
    </row>
    <row r="14" spans="1:10" ht="15.75" thickBot="1" x14ac:dyDescent="0.3">
      <c r="A14" s="13" t="s">
        <v>102</v>
      </c>
      <c r="B14" s="13">
        <v>15871302009.471621</v>
      </c>
      <c r="C14" s="13">
        <v>317</v>
      </c>
      <c r="D14" s="13"/>
      <c r="E14" s="13"/>
      <c r="F14" s="13"/>
      <c r="G1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Исх. данные</vt:lpstr>
      <vt:lpstr>Табл. сопряженности</vt:lpstr>
      <vt:lpstr>Данные дисп анализ</vt:lpstr>
      <vt:lpstr>Дескриптивный анализ</vt:lpstr>
      <vt:lpstr>Корреляции</vt:lpstr>
      <vt:lpstr>Регрессионная модель</vt:lpstr>
      <vt:lpstr>Дисп. анализ</vt:lpstr>
      <vt:lpstr>'Исх. данные'!imports_85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Warnet</cp:lastModifiedBy>
  <dcterms:created xsi:type="dcterms:W3CDTF">2021-09-07T10:39:13Z</dcterms:created>
  <dcterms:modified xsi:type="dcterms:W3CDTF">2021-10-20T16:36:40Z</dcterms:modified>
</cp:coreProperties>
</file>